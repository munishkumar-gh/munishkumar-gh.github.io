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kumar\Documents\GitHub\munishkumar-gh.github.io\@Papers\Unique_Petro\Data\"/>
    </mc:Choice>
  </mc:AlternateContent>
  <xr:revisionPtr revIDLastSave="0" documentId="13_ncr:1_{D157C0D5-933F-41A8-ACB6-55A838670E38}" xr6:coauthVersionLast="47" xr6:coauthVersionMax="47" xr10:uidLastSave="{00000000-0000-0000-0000-000000000000}"/>
  <bookViews>
    <workbookView xWindow="-96" yWindow="-96" windowWidth="23232" windowHeight="12552" activeTab="1" xr2:uid="{680267B2-382F-4234-BE69-8A3B6A684971}"/>
  </bookViews>
  <sheets>
    <sheet name="6_Keff_Swirr" sheetId="1" r:id="rId1"/>
    <sheet name="6b_SgrM_Plots" sheetId="2" r:id="rId2"/>
  </sheets>
  <externalReferences>
    <externalReference r:id="rId3"/>
    <externalReference r:id="rId4"/>
  </externalReferences>
  <definedNames>
    <definedName name="_xlnm._FilterDatabase" localSheetId="0" hidden="1">'6_Keff_Swirr'!$T$37:$U$37</definedName>
    <definedName name="a">'[1]5a_Archie_Uncertainty'!$G$3</definedName>
    <definedName name="kphia" localSheetId="1">[2]!kphia</definedName>
    <definedName name="kphia">[2]!kphia</definedName>
    <definedName name="kphiall" localSheetId="1">[2]!kphiall</definedName>
    <definedName name="kphiall">[2]!kphiall</definedName>
    <definedName name="kphib" localSheetId="1">[2]!kphib</definedName>
    <definedName name="kphib">[2]!kphib</definedName>
    <definedName name="kphic" localSheetId="1">[2]!kphic</definedName>
    <definedName name="kphic">[2]!kphic</definedName>
    <definedName name="m">'[1]5a_Archie_Uncertainty'!$H$3</definedName>
    <definedName name="n">'[1]5a_Archie_Uncertainty'!$I$3</definedName>
    <definedName name="_xlnm.Print_Area" localSheetId="0">'6_Keff_Swirr'!$A$1:$H$17</definedName>
    <definedName name="_xlnm.Print_Titles" localSheetId="0">'6_Keff_Swirr'!$1:$9</definedName>
    <definedName name="Rw">'[1]5a_Archie_Uncertainty'!$J$3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K45" i="1" l="1"/>
  <c r="AK43" i="1"/>
  <c r="AK40" i="1"/>
  <c r="AK39" i="1"/>
  <c r="AK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38" i="1"/>
  <c r="AE40" i="1"/>
  <c r="AE41" i="1"/>
  <c r="AE42" i="1"/>
  <c r="AE43" i="1"/>
  <c r="AE44" i="1"/>
  <c r="AE39" i="1"/>
  <c r="AE38" i="1"/>
  <c r="Q50" i="1"/>
  <c r="K50" i="1"/>
  <c r="Q49" i="1"/>
  <c r="K49" i="1"/>
  <c r="B49" i="1"/>
  <c r="Q48" i="1"/>
  <c r="K48" i="1"/>
  <c r="B48" i="1"/>
  <c r="Q47" i="1"/>
  <c r="K47" i="1"/>
  <c r="B47" i="1"/>
  <c r="Q46" i="1"/>
  <c r="K46" i="1"/>
  <c r="B46" i="1"/>
  <c r="Q45" i="1"/>
  <c r="K45" i="1"/>
  <c r="B45" i="1"/>
  <c r="Q44" i="1"/>
  <c r="K44" i="1"/>
  <c r="B44" i="1"/>
  <c r="Q43" i="1"/>
  <c r="K43" i="1"/>
  <c r="B43" i="1"/>
  <c r="Q42" i="1"/>
  <c r="K42" i="1"/>
  <c r="B42" i="1"/>
  <c r="Q41" i="1"/>
  <c r="K41" i="1"/>
  <c r="B41" i="1"/>
  <c r="AA40" i="1"/>
  <c r="U40" i="1"/>
  <c r="Q40" i="1"/>
  <c r="K40" i="1"/>
  <c r="B40" i="1"/>
  <c r="B39" i="1"/>
  <c r="P17" i="1"/>
  <c r="M17" i="1"/>
  <c r="K17" i="1"/>
  <c r="L17" i="1" s="1"/>
  <c r="J17" i="1"/>
  <c r="I17" i="1"/>
  <c r="P16" i="1"/>
  <c r="M16" i="1"/>
  <c r="K16" i="1"/>
  <c r="L16" i="1" s="1"/>
  <c r="J16" i="1"/>
  <c r="I16" i="1"/>
  <c r="P15" i="1"/>
  <c r="M15" i="1"/>
  <c r="K15" i="1"/>
  <c r="L15" i="1" s="1"/>
  <c r="J15" i="1"/>
  <c r="I15" i="1"/>
  <c r="P14" i="1"/>
  <c r="M14" i="1"/>
  <c r="K14" i="1"/>
  <c r="L14" i="1" s="1"/>
  <c r="J14" i="1"/>
  <c r="I14" i="1"/>
  <c r="P13" i="1"/>
  <c r="M13" i="1"/>
  <c r="K13" i="1"/>
  <c r="L13" i="1" s="1"/>
  <c r="J13" i="1"/>
  <c r="I13" i="1"/>
  <c r="P12" i="1"/>
  <c r="M12" i="1"/>
  <c r="K12" i="1"/>
  <c r="L12" i="1" s="1"/>
  <c r="J12" i="1"/>
  <c r="I12" i="1"/>
  <c r="P11" i="1"/>
  <c r="M11" i="1"/>
  <c r="K11" i="1"/>
  <c r="L11" i="1" s="1"/>
  <c r="J11" i="1"/>
  <c r="I11" i="1"/>
  <c r="K18" i="1" l="1"/>
  <c r="W37" i="1" s="1"/>
  <c r="V90" i="1" s="1"/>
  <c r="K19" i="1"/>
  <c r="AC37" i="1" s="1"/>
  <c r="Z73" i="1" s="1"/>
  <c r="Z74" i="1" l="1"/>
  <c r="T69" i="1"/>
  <c r="W69" i="1" s="1"/>
  <c r="V54" i="1"/>
  <c r="T49" i="1"/>
  <c r="N11" i="1"/>
  <c r="O11" i="1" s="1"/>
  <c r="AB57" i="1"/>
  <c r="T60" i="1"/>
  <c r="AB81" i="1"/>
  <c r="T46" i="1"/>
  <c r="V50" i="1"/>
  <c r="V59" i="1"/>
  <c r="V58" i="1"/>
  <c r="Z63" i="1"/>
  <c r="AC63" i="1" s="1"/>
  <c r="T67" i="1"/>
  <c r="W67" i="1" s="1"/>
  <c r="AB73" i="1"/>
  <c r="AC73" i="1" s="1"/>
  <c r="T52" i="1"/>
  <c r="N14" i="1"/>
  <c r="O14" i="1" s="1"/>
  <c r="Z59" i="1"/>
  <c r="T54" i="1"/>
  <c r="AB48" i="1"/>
  <c r="T58" i="1"/>
  <c r="T62" i="1"/>
  <c r="AB85" i="1"/>
  <c r="T44" i="1"/>
  <c r="N13" i="1"/>
  <c r="O13" i="1" s="1"/>
  <c r="T48" i="1"/>
  <c r="W48" i="1" s="1"/>
  <c r="AB78" i="1"/>
  <c r="V60" i="1"/>
  <c r="N12" i="1"/>
  <c r="O12" i="1" s="1"/>
  <c r="AB82" i="1"/>
  <c r="T40" i="1"/>
  <c r="V67" i="1"/>
  <c r="V64" i="1"/>
  <c r="V42" i="1"/>
  <c r="V73" i="1"/>
  <c r="Z88" i="1"/>
  <c r="T50" i="1"/>
  <c r="W50" i="1" s="1"/>
  <c r="T89" i="1"/>
  <c r="V40" i="1"/>
  <c r="T82" i="1"/>
  <c r="AB67" i="1"/>
  <c r="V69" i="1"/>
  <c r="V68" i="1"/>
  <c r="V41" i="1"/>
  <c r="V83" i="1"/>
  <c r="T71" i="1"/>
  <c r="W71" i="1" s="1"/>
  <c r="T56" i="1"/>
  <c r="T81" i="1"/>
  <c r="Z49" i="1"/>
  <c r="AC49" i="1" s="1"/>
  <c r="T80" i="1"/>
  <c r="V44" i="1"/>
  <c r="N16" i="1"/>
  <c r="O16" i="1" s="1"/>
  <c r="Z66" i="1"/>
  <c r="V56" i="1"/>
  <c r="Z71" i="1"/>
  <c r="T43" i="1"/>
  <c r="Z52" i="1"/>
  <c r="T57" i="1"/>
  <c r="AB69" i="1"/>
  <c r="Z56" i="1"/>
  <c r="AC56" i="1" s="1"/>
  <c r="T65" i="1"/>
  <c r="V71" i="1"/>
  <c r="V88" i="1"/>
  <c r="V49" i="1"/>
  <c r="AB52" i="1"/>
  <c r="Z58" i="1"/>
  <c r="AB54" i="1"/>
  <c r="Z60" i="1"/>
  <c r="AB56" i="1"/>
  <c r="Z82" i="1"/>
  <c r="AC82" i="1" s="1"/>
  <c r="Z75" i="1"/>
  <c r="Z44" i="1"/>
  <c r="AC44" i="1" s="1"/>
  <c r="AB63" i="1"/>
  <c r="AB68" i="1"/>
  <c r="Z84" i="1"/>
  <c r="V76" i="1"/>
  <c r="W76" i="1" s="1"/>
  <c r="Z53" i="1"/>
  <c r="AB58" i="1"/>
  <c r="AB65" i="1"/>
  <c r="Z70" i="1"/>
  <c r="AB76" i="1"/>
  <c r="Z86" i="1"/>
  <c r="AB79" i="1"/>
  <c r="AB80" i="1"/>
  <c r="Z77" i="1"/>
  <c r="AB59" i="1"/>
  <c r="AB83" i="1"/>
  <c r="Z43" i="1"/>
  <c r="Z69" i="1"/>
  <c r="W44" i="1"/>
  <c r="W56" i="1"/>
  <c r="Z67" i="1"/>
  <c r="AC67" i="1" s="1"/>
  <c r="AB87" i="1"/>
  <c r="AB60" i="1"/>
  <c r="AC60" i="1" s="1"/>
  <c r="AB84" i="1"/>
  <c r="Z62" i="1"/>
  <c r="Z90" i="1"/>
  <c r="AB41" i="1"/>
  <c r="V45" i="1"/>
  <c r="T73" i="1"/>
  <c r="W73" i="1" s="1"/>
  <c r="V51" i="1"/>
  <c r="V75" i="1"/>
  <c r="T66" i="1"/>
  <c r="V72" i="1"/>
  <c r="T64" i="1"/>
  <c r="W64" i="1" s="1"/>
  <c r="V62" i="1"/>
  <c r="W62" i="1" s="1"/>
  <c r="Z57" i="1"/>
  <c r="AC57" i="1" s="1"/>
  <c r="AB46" i="1"/>
  <c r="AB62" i="1"/>
  <c r="Z64" i="1"/>
  <c r="Z79" i="1"/>
  <c r="T75" i="1"/>
  <c r="V77" i="1"/>
  <c r="T70" i="1"/>
  <c r="V78" i="1"/>
  <c r="V66" i="1"/>
  <c r="AB51" i="1"/>
  <c r="Z55" i="1"/>
  <c r="Z41" i="1"/>
  <c r="AB47" i="1"/>
  <c r="AB64" i="1"/>
  <c r="AB88" i="1"/>
  <c r="Z68" i="1"/>
  <c r="AB44" i="1"/>
  <c r="Z48" i="1"/>
  <c r="AC48" i="1" s="1"/>
  <c r="T53" i="1"/>
  <c r="T77" i="1"/>
  <c r="W77" i="1" s="1"/>
  <c r="V55" i="1"/>
  <c r="V79" i="1"/>
  <c r="T74" i="1"/>
  <c r="V82" i="1"/>
  <c r="W82" i="1" s="1"/>
  <c r="T72" i="1"/>
  <c r="V70" i="1"/>
  <c r="AB42" i="1"/>
  <c r="Z61" i="1"/>
  <c r="AB89" i="1"/>
  <c r="AB86" i="1"/>
  <c r="AB49" i="1"/>
  <c r="T51" i="1"/>
  <c r="W51" i="1" s="1"/>
  <c r="V53" i="1"/>
  <c r="T68" i="1"/>
  <c r="W68" i="1" s="1"/>
  <c r="Z85" i="1"/>
  <c r="N17" i="1"/>
  <c r="O17" i="1" s="1"/>
  <c r="Z45" i="1"/>
  <c r="Z54" i="1"/>
  <c r="AB66" i="1"/>
  <c r="AC66" i="1" s="1"/>
  <c r="AB90" i="1"/>
  <c r="Z72" i="1"/>
  <c r="N15" i="1"/>
  <c r="O15" i="1" s="1"/>
  <c r="V43" i="1"/>
  <c r="T55" i="1"/>
  <c r="T79" i="1"/>
  <c r="W79" i="1" s="1"/>
  <c r="V57" i="1"/>
  <c r="W57" i="1" s="1"/>
  <c r="V81" i="1"/>
  <c r="T78" i="1"/>
  <c r="V86" i="1"/>
  <c r="T76" i="1"/>
  <c r="V74" i="1"/>
  <c r="Z87" i="1"/>
  <c r="AC87" i="1" s="1"/>
  <c r="AB61" i="1"/>
  <c r="AB71" i="1"/>
  <c r="AC71" i="1" s="1"/>
  <c r="Z89" i="1"/>
  <c r="Z42" i="1"/>
  <c r="AB70" i="1"/>
  <c r="AC70" i="1" s="1"/>
  <c r="Z47" i="1"/>
  <c r="AC47" i="1" s="1"/>
  <c r="Z76" i="1"/>
  <c r="Z83" i="1"/>
  <c r="T47" i="1"/>
  <c r="T59" i="1"/>
  <c r="W59" i="1" s="1"/>
  <c r="T83" i="1"/>
  <c r="W83" i="1" s="1"/>
  <c r="V61" i="1"/>
  <c r="V85" i="1"/>
  <c r="T86" i="1"/>
  <c r="W86" i="1" s="1"/>
  <c r="V46" i="1"/>
  <c r="T84" i="1"/>
  <c r="V80" i="1"/>
  <c r="AB45" i="1"/>
  <c r="AB55" i="1"/>
  <c r="AB53" i="1"/>
  <c r="AB75" i="1"/>
  <c r="AC75" i="1" s="1"/>
  <c r="Z46" i="1"/>
  <c r="AB72" i="1"/>
  <c r="AB43" i="1"/>
  <c r="Z78" i="1"/>
  <c r="AC78" i="1" s="1"/>
  <c r="Z51" i="1"/>
  <c r="AC51" i="1" s="1"/>
  <c r="V47" i="1"/>
  <c r="W47" i="1" s="1"/>
  <c r="T61" i="1"/>
  <c r="T85" i="1"/>
  <c r="V63" i="1"/>
  <c r="V87" i="1"/>
  <c r="T88" i="1"/>
  <c r="W88" i="1" s="1"/>
  <c r="T41" i="1"/>
  <c r="T90" i="1"/>
  <c r="W90" i="1" s="1"/>
  <c r="V84" i="1"/>
  <c r="AB40" i="1"/>
  <c r="Z40" i="1"/>
  <c r="Z81" i="1"/>
  <c r="AC81" i="1" s="1"/>
  <c r="AB77" i="1"/>
  <c r="AB50" i="1"/>
  <c r="AB74" i="1"/>
  <c r="AC74" i="1" s="1"/>
  <c r="Z50" i="1"/>
  <c r="AC50" i="1" s="1"/>
  <c r="Z80" i="1"/>
  <c r="Z65" i="1"/>
  <c r="V48" i="1"/>
  <c r="T63" i="1"/>
  <c r="T87" i="1"/>
  <c r="W87" i="1" s="1"/>
  <c r="V65" i="1"/>
  <c r="V89" i="1"/>
  <c r="V52" i="1"/>
  <c r="W52" i="1" s="1"/>
  <c r="T45" i="1"/>
  <c r="T42" i="1"/>
  <c r="W42" i="1" s="1"/>
  <c r="AC90" i="1"/>
  <c r="W40" i="1"/>
  <c r="W60" i="1"/>
  <c r="W75" i="1"/>
  <c r="AC46" i="1"/>
  <c r="AC65" i="1"/>
  <c r="W41" i="1"/>
  <c r="W53" i="1"/>
  <c r="AC40" i="1"/>
  <c r="AC59" i="1"/>
  <c r="AC52" i="1"/>
  <c r="AC69" i="1"/>
  <c r="W49" i="1"/>
  <c r="W46" i="1"/>
  <c r="AC58" i="1"/>
  <c r="W54" i="1"/>
  <c r="AC77" i="1" l="1"/>
  <c r="AC89" i="1"/>
  <c r="W43" i="1"/>
  <c r="AC86" i="1"/>
  <c r="W80" i="1"/>
  <c r="W89" i="1"/>
  <c r="W58" i="1"/>
  <c r="AC53" i="1"/>
  <c r="AC88" i="1"/>
  <c r="AC64" i="1"/>
  <c r="W65" i="1"/>
  <c r="W78" i="1"/>
  <c r="AC83" i="1"/>
  <c r="AC76" i="1"/>
  <c r="W81" i="1"/>
  <c r="AC85" i="1"/>
  <c r="W72" i="1"/>
  <c r="AC84" i="1"/>
  <c r="W55" i="1"/>
  <c r="AC43" i="1"/>
  <c r="W63" i="1"/>
  <c r="AC80" i="1"/>
  <c r="AC54" i="1"/>
  <c r="AC68" i="1"/>
  <c r="AC79" i="1"/>
  <c r="W45" i="1"/>
  <c r="AC62" i="1"/>
  <c r="AC41" i="1"/>
  <c r="W74" i="1"/>
  <c r="AC55" i="1"/>
  <c r="W66" i="1"/>
  <c r="W61" i="1"/>
  <c r="W84" i="1"/>
  <c r="AC42" i="1"/>
  <c r="W70" i="1"/>
  <c r="AC61" i="1"/>
  <c r="W85" i="1"/>
  <c r="AC45" i="1"/>
  <c r="AC72" i="1"/>
</calcChain>
</file>

<file path=xl/sharedStrings.xml><?xml version="1.0" encoding="utf-8"?>
<sst xmlns="http://schemas.openxmlformats.org/spreadsheetml/2006/main" count="170" uniqueCount="95">
  <si>
    <t>SUMMARY OF EFFECTIVE PERMEABILITY TO GAS AT Swi</t>
  </si>
  <si>
    <t>Clay-Corr</t>
  </si>
  <si>
    <t>Net Confining Pressure (1500 psi)</t>
  </si>
  <si>
    <t>Grain</t>
  </si>
  <si>
    <t>Effective</t>
  </si>
  <si>
    <t>Data Label</t>
  </si>
  <si>
    <t xml:space="preserve">Sample </t>
  </si>
  <si>
    <t>Depth,</t>
  </si>
  <si>
    <t>Klinkenberg</t>
  </si>
  <si>
    <t>Permeability</t>
  </si>
  <si>
    <t>Density</t>
  </si>
  <si>
    <t>Swi</t>
  </si>
  <si>
    <t>Relative Perm</t>
  </si>
  <si>
    <t>Sgi</t>
  </si>
  <si>
    <t>Estimated Sgo</t>
  </si>
  <si>
    <t xml:space="preserve">Estimated </t>
  </si>
  <si>
    <t>Estimated</t>
  </si>
  <si>
    <t>Interpreted</t>
  </si>
  <si>
    <t>ID</t>
  </si>
  <si>
    <t>to air (est.)</t>
  </si>
  <si>
    <t>Porosity</t>
  </si>
  <si>
    <t>to Gas at Swi</t>
  </si>
  <si>
    <t>to gas</t>
  </si>
  <si>
    <t>(Suzanne)</t>
  </si>
  <si>
    <t>CBW (Eqn)</t>
  </si>
  <si>
    <t xml:space="preserve">BFV (from </t>
  </si>
  <si>
    <t>Sgr</t>
  </si>
  <si>
    <t>SgrM</t>
  </si>
  <si>
    <t>m</t>
  </si>
  <si>
    <t>(mD)</t>
  </si>
  <si>
    <t>fraction</t>
  </si>
  <si>
    <t>g/cm³</t>
  </si>
  <si>
    <t>frac</t>
  </si>
  <si>
    <t>(A.U.)</t>
  </si>
  <si>
    <t>(V/V)</t>
  </si>
  <si>
    <t>NMR) (V/V)</t>
  </si>
  <si>
    <t>1-017B</t>
  </si>
  <si>
    <t>1-028B</t>
  </si>
  <si>
    <t>1-034B</t>
  </si>
  <si>
    <t>1-046B</t>
  </si>
  <si>
    <t>1-048B</t>
  </si>
  <si>
    <t>1-054B</t>
  </si>
  <si>
    <t>1-011B</t>
  </si>
  <si>
    <t>Sandy</t>
  </si>
  <si>
    <t xml:space="preserve">Had to use </t>
  </si>
  <si>
    <t>Samples in Bold are Shaly</t>
  </si>
  <si>
    <t>Shaly</t>
  </si>
  <si>
    <t xml:space="preserve">sample 1-012 </t>
  </si>
  <si>
    <t>Sgr-Sgi relationships can be decomposed into two distinct parts: a linear Sgr-Sgi region and a constant Sgr region</t>
  </si>
  <si>
    <t>as analog</t>
  </si>
  <si>
    <t>The breaking pt is known as Sgo, as in Aissaoui's law.</t>
  </si>
  <si>
    <t xml:space="preserve">as delta PHIT </t>
  </si>
  <si>
    <t>Sgr is not only a function of Sgi, but also a function porosity-permeability (rock characteristics) and microposity content</t>
  </si>
  <si>
    <t>too large</t>
  </si>
  <si>
    <t>Model of Sgo vs CBW</t>
  </si>
  <si>
    <t>Model of Sgo vs SWIR</t>
  </si>
  <si>
    <t>Aissaoui Piece-Wise Linear Model</t>
  </si>
  <si>
    <t>Porosity &gt; 19 p.u.</t>
  </si>
  <si>
    <t>Porosity &lt; 19 p.u.</t>
  </si>
  <si>
    <t>C</t>
  </si>
  <si>
    <t>m1</t>
  </si>
  <si>
    <t>c1</t>
  </si>
  <si>
    <t>m2</t>
  </si>
  <si>
    <t>c2</t>
  </si>
  <si>
    <t>Sgo</t>
  </si>
  <si>
    <t>Models</t>
  </si>
  <si>
    <t>Data extracted from Suzanna</t>
  </si>
  <si>
    <t>Sgr_A</t>
  </si>
  <si>
    <t>Sgi_S</t>
  </si>
  <si>
    <t>Sgr_S</t>
  </si>
  <si>
    <t>Group</t>
  </si>
  <si>
    <t>CBW</t>
  </si>
  <si>
    <t>Sgo_M</t>
  </si>
  <si>
    <t>CBW_M</t>
  </si>
  <si>
    <t>Swir</t>
  </si>
  <si>
    <t>Swir_M</t>
  </si>
  <si>
    <t>SgrMM</t>
  </si>
  <si>
    <t>Delta</t>
  </si>
  <si>
    <r>
      <t xml:space="preserve">M3, </t>
    </r>
    <r>
      <rPr>
        <sz val="8"/>
        <rFont val="Symbol"/>
        <family val="1"/>
        <charset val="2"/>
      </rPr>
      <t>f</t>
    </r>
    <r>
      <rPr>
        <sz val="8"/>
        <rFont val="Arial"/>
        <family val="2"/>
      </rPr>
      <t>~19%, Kg~2950 mD</t>
    </r>
  </si>
  <si>
    <r>
      <t xml:space="preserve">M3, </t>
    </r>
    <r>
      <rPr>
        <sz val="8"/>
        <rFont val="Symbol"/>
        <family val="1"/>
        <charset val="2"/>
      </rPr>
      <t>f</t>
    </r>
    <r>
      <rPr>
        <sz val="8"/>
        <rFont val="Arial"/>
        <family val="2"/>
      </rPr>
      <t>~19%, Kg~52 mD</t>
    </r>
  </si>
  <si>
    <r>
      <t xml:space="preserve">M3, </t>
    </r>
    <r>
      <rPr>
        <sz val="10"/>
        <rFont val="Symbol"/>
        <family val="1"/>
        <charset val="2"/>
      </rPr>
      <t>f</t>
    </r>
    <r>
      <rPr>
        <sz val="10"/>
        <rFont val="Arial"/>
        <family val="2"/>
      </rPr>
      <t>~19%, Kg~962 mD</t>
    </r>
  </si>
  <si>
    <t>M1 - Kg~790 mD</t>
  </si>
  <si>
    <t>M1 - Kg~663 mD</t>
  </si>
  <si>
    <t>M1 - Kg~430 mD</t>
  </si>
  <si>
    <t>M1 - Kg~203 mD</t>
  </si>
  <si>
    <r>
      <t xml:space="preserve">All </t>
    </r>
    <r>
      <rPr>
        <sz val="10"/>
        <rFont val="Symbol"/>
        <family val="1"/>
        <charset val="2"/>
      </rPr>
      <t>f</t>
    </r>
    <r>
      <rPr>
        <sz val="10"/>
        <rFont val="Arial"/>
        <family val="2"/>
      </rPr>
      <t xml:space="preserve"> ~ 19%</t>
    </r>
  </si>
  <si>
    <r>
      <t xml:space="preserve">M3, </t>
    </r>
    <r>
      <rPr>
        <sz val="8"/>
        <rFont val="Symbol"/>
        <family val="1"/>
        <charset val="2"/>
      </rPr>
      <t>f</t>
    </r>
    <r>
      <rPr>
        <sz val="8"/>
        <rFont val="Arial"/>
        <family val="2"/>
      </rPr>
      <t>~12%, k~0.3 mD</t>
    </r>
  </si>
  <si>
    <r>
      <t xml:space="preserve">M3, </t>
    </r>
    <r>
      <rPr>
        <sz val="8"/>
        <rFont val="Symbol"/>
        <family val="1"/>
        <charset val="2"/>
      </rPr>
      <t>f</t>
    </r>
    <r>
      <rPr>
        <sz val="8"/>
        <rFont val="Arial"/>
        <family val="2"/>
      </rPr>
      <t>~15%, k~2 mD</t>
    </r>
  </si>
  <si>
    <r>
      <t xml:space="preserve">M3, </t>
    </r>
    <r>
      <rPr>
        <sz val="8"/>
        <rFont val="Symbol"/>
        <family val="1"/>
        <charset val="2"/>
      </rPr>
      <t>f</t>
    </r>
    <r>
      <rPr>
        <sz val="8"/>
        <rFont val="Arial"/>
        <family val="2"/>
      </rPr>
      <t>~15%, k~3 mD</t>
    </r>
  </si>
  <si>
    <t>Spr</t>
  </si>
  <si>
    <t>China Tight Oil Sand</t>
  </si>
  <si>
    <t>Cuba Pina Field</t>
  </si>
  <si>
    <t>PetroAustralia</t>
  </si>
  <si>
    <t>Timor Lester Sunrise Field</t>
  </si>
  <si>
    <t>Timor Lester Bayu Undan Field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</si>
</sst>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?0.0??"/>
    <numFmt numFmtId="165" formatCode="0.000"/>
    <numFmt numFmtId="166" formatCode="??0.??"/>
    <numFmt numFmtId="167" formatCode="0.00\ \ \ \ \ \ \ \ "/>
    <numFmt numFmtId="168" formatCode="0.0000"/>
    <numFmt numFmtId="169" formatCode="???0.000\ \ \ \ "/>
    <numFmt numFmtId="170" formatCode="???0.0000\ \ \ \ "/>
    <numFmt numFmtId="171" formatCode="?0.000"/>
    <numFmt numFmtId="172" formatCode="0\ \ \ \ \ \ \ \ "/>
    <numFmt numFmtId="173" formatCode="0.000\ \ \ \ \ \ \ \ "/>
    <numFmt numFmtId="174" formatCode="0\ "/>
    <numFmt numFmtId="175" formatCode="0.0"/>
    <numFmt numFmtId="176" formatCode="?0.0"/>
    <numFmt numFmtId="177" formatCode="???0.00\ \ "/>
    <numFmt numFmtId="178" formatCode="???0.000"/>
  </numFmts>
  <fonts count="1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name val="MS Serif"/>
      <family val="1"/>
    </font>
    <font>
      <sz val="7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8"/>
      <name val="Symbol"/>
      <family val="1"/>
      <charset val="2"/>
    </font>
    <font>
      <sz val="10"/>
      <name val="Symbol"/>
      <family val="1"/>
      <charset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0" fontId="1" fillId="0" borderId="0"/>
    <xf numFmtId="0" fontId="1" fillId="0" borderId="0"/>
    <xf numFmtId="0" fontId="4" fillId="0" borderId="0"/>
  </cellStyleXfs>
  <cellXfs count="128">
    <xf numFmtId="0" fontId="0" fillId="0" borderId="0" xfId="0"/>
    <xf numFmtId="0" fontId="2" fillId="0" borderId="0" xfId="1" applyFont="1"/>
    <xf numFmtId="0" fontId="1" fillId="0" borderId="0" xfId="1"/>
    <xf numFmtId="0" fontId="1" fillId="0" borderId="0" xfId="1" applyAlignment="1">
      <alignment horizontal="center"/>
    </xf>
    <xf numFmtId="0" fontId="2" fillId="0" borderId="0" xfId="1" applyFont="1" applyAlignment="1">
      <alignment horizontal="center"/>
    </xf>
    <xf numFmtId="0" fontId="3" fillId="0" borderId="0" xfId="1" applyFont="1" applyAlignment="1">
      <alignment horizontal="centerContinuous"/>
    </xf>
    <xf numFmtId="0" fontId="1" fillId="0" borderId="0" xfId="1" applyAlignment="1">
      <alignment horizontal="centerContinuous"/>
    </xf>
    <xf numFmtId="0" fontId="2" fillId="0" borderId="1" xfId="1" applyFont="1" applyBorder="1" applyAlignment="1">
      <alignment horizontal="center" vertical="center"/>
    </xf>
    <xf numFmtId="0" fontId="2" fillId="0" borderId="2" xfId="1" applyFont="1" applyBorder="1" applyAlignment="1">
      <alignment horizontal="center" vertical="center"/>
    </xf>
    <xf numFmtId="0" fontId="2" fillId="0" borderId="3" xfId="1" applyFont="1" applyBorder="1" applyAlignment="1">
      <alignment horizontal="center" vertical="center"/>
    </xf>
    <xf numFmtId="0" fontId="2" fillId="0" borderId="4" xfId="1" applyFont="1" applyBorder="1" applyAlignment="1">
      <alignment horizontal="center" vertical="center"/>
    </xf>
    <xf numFmtId="0" fontId="2" fillId="0" borderId="5" xfId="1" applyFont="1" applyBorder="1" applyAlignment="1">
      <alignment horizontal="center" vertical="center"/>
    </xf>
    <xf numFmtId="0" fontId="2" fillId="0" borderId="6" xfId="1" applyFont="1" applyBorder="1" applyAlignment="1">
      <alignment horizontal="center" vertical="center"/>
    </xf>
    <xf numFmtId="0" fontId="1" fillId="0" borderId="7" xfId="1" applyBorder="1" applyAlignment="1">
      <alignment horizontal="center" vertical="center"/>
    </xf>
    <xf numFmtId="0" fontId="1" fillId="0" borderId="4" xfId="1" applyBorder="1" applyAlignment="1">
      <alignment horizontal="center" vertical="center"/>
    </xf>
    <xf numFmtId="0" fontId="1" fillId="0" borderId="5" xfId="1" applyBorder="1"/>
    <xf numFmtId="0" fontId="2" fillId="0" borderId="8" xfId="1" applyFont="1" applyBorder="1" applyAlignment="1">
      <alignment horizontal="center" vertical="center"/>
    </xf>
    <xf numFmtId="0" fontId="2" fillId="0" borderId="0" xfId="1" applyFont="1" applyAlignment="1">
      <alignment horizontal="center" vertical="center"/>
    </xf>
    <xf numFmtId="0" fontId="2" fillId="0" borderId="9" xfId="1" applyFont="1" applyBorder="1" applyAlignment="1">
      <alignment horizontal="center" vertical="center"/>
    </xf>
    <xf numFmtId="0" fontId="2" fillId="0" borderId="10" xfId="1" applyFont="1" applyBorder="1" applyAlignment="1">
      <alignment horizontal="center" vertical="center"/>
    </xf>
    <xf numFmtId="0" fontId="1" fillId="0" borderId="8" xfId="1" applyBorder="1" applyAlignment="1">
      <alignment horizontal="center" vertical="center"/>
    </xf>
    <xf numFmtId="0" fontId="1" fillId="0" borderId="0" xfId="1" applyAlignment="1">
      <alignment horizontal="center" vertical="center"/>
    </xf>
    <xf numFmtId="0" fontId="1" fillId="0" borderId="9" xfId="1" applyBorder="1" applyAlignment="1">
      <alignment horizontal="center" vertical="center"/>
    </xf>
    <xf numFmtId="0" fontId="1" fillId="0" borderId="11" xfId="1" applyBorder="1" applyAlignment="1">
      <alignment horizontal="center" vertical="center"/>
    </xf>
    <xf numFmtId="0" fontId="1" fillId="0" borderId="12" xfId="1" applyBorder="1" applyAlignment="1">
      <alignment horizontal="center" vertical="center"/>
    </xf>
    <xf numFmtId="0" fontId="1" fillId="0" borderId="13" xfId="1" applyBorder="1" applyAlignment="1">
      <alignment horizontal="center" vertical="center"/>
    </xf>
    <xf numFmtId="0" fontId="1" fillId="0" borderId="14" xfId="1" applyBorder="1" applyAlignment="1">
      <alignment horizontal="center" vertical="center"/>
    </xf>
    <xf numFmtId="0" fontId="1" fillId="0" borderId="15" xfId="1" applyBorder="1" applyAlignment="1">
      <alignment horizontal="center" vertical="center"/>
    </xf>
    <xf numFmtId="0" fontId="1" fillId="0" borderId="16" xfId="1" applyBorder="1" applyAlignment="1">
      <alignment horizontal="center" vertical="center"/>
    </xf>
    <xf numFmtId="0" fontId="1" fillId="0" borderId="17" xfId="1" applyBorder="1" applyAlignment="1">
      <alignment horizontal="center" vertical="center"/>
    </xf>
    <xf numFmtId="0" fontId="1" fillId="0" borderId="18" xfId="1" applyBorder="1" applyAlignment="1">
      <alignment horizontal="center" vertical="center"/>
    </xf>
    <xf numFmtId="0" fontId="1" fillId="0" borderId="19" xfId="1" applyBorder="1" applyAlignment="1">
      <alignment horizontal="center" vertical="center"/>
    </xf>
    <xf numFmtId="0" fontId="1" fillId="0" borderId="20" xfId="1" applyBorder="1" applyAlignment="1">
      <alignment horizontal="center" vertical="center"/>
    </xf>
    <xf numFmtId="0" fontId="2" fillId="0" borderId="21" xfId="1" applyFont="1" applyBorder="1" applyAlignment="1">
      <alignment horizontal="center" vertical="center"/>
    </xf>
    <xf numFmtId="0" fontId="1" fillId="0" borderId="0" xfId="2" applyAlignment="1">
      <alignment horizontal="center"/>
    </xf>
    <xf numFmtId="2" fontId="1" fillId="0" borderId="0" xfId="2" applyNumberFormat="1" applyAlignment="1">
      <alignment horizontal="center"/>
    </xf>
    <xf numFmtId="164" fontId="1" fillId="0" borderId="0" xfId="2" applyNumberFormat="1" applyAlignment="1">
      <alignment horizontal="center"/>
    </xf>
    <xf numFmtId="165" fontId="1" fillId="0" borderId="0" xfId="2" applyNumberFormat="1" applyAlignment="1">
      <alignment horizontal="center"/>
    </xf>
    <xf numFmtId="166" fontId="1" fillId="0" borderId="0" xfId="2" applyNumberFormat="1" applyAlignment="1">
      <alignment horizontal="center"/>
    </xf>
    <xf numFmtId="2" fontId="1" fillId="0" borderId="0" xfId="1" applyNumberFormat="1" applyAlignment="1">
      <alignment horizontal="center" vertical="center"/>
    </xf>
    <xf numFmtId="167" fontId="1" fillId="0" borderId="0" xfId="1" applyNumberFormat="1" applyAlignment="1">
      <alignment vertical="center"/>
    </xf>
    <xf numFmtId="165" fontId="1" fillId="0" borderId="9" xfId="4" applyNumberFormat="1" applyFont="1" applyBorder="1" applyAlignment="1">
      <alignment horizontal="center" vertical="center"/>
    </xf>
    <xf numFmtId="165" fontId="1" fillId="0" borderId="0" xfId="1" applyNumberFormat="1" applyAlignment="1">
      <alignment horizontal="center" vertical="center"/>
    </xf>
    <xf numFmtId="167" fontId="1" fillId="0" borderId="9" xfId="1" applyNumberFormat="1" applyBorder="1" applyAlignment="1">
      <alignment vertical="center"/>
    </xf>
    <xf numFmtId="168" fontId="1" fillId="0" borderId="10" xfId="1" applyNumberFormat="1" applyBorder="1" applyAlignment="1">
      <alignment horizontal="center" vertical="center"/>
    </xf>
    <xf numFmtId="165" fontId="1" fillId="0" borderId="8" xfId="1" applyNumberFormat="1" applyBorder="1" applyAlignment="1">
      <alignment horizontal="center" vertical="center"/>
    </xf>
    <xf numFmtId="168" fontId="1" fillId="0" borderId="0" xfId="1" applyNumberFormat="1" applyAlignment="1">
      <alignment horizontal="center" vertical="center"/>
    </xf>
    <xf numFmtId="169" fontId="1" fillId="0" borderId="0" xfId="4" applyNumberFormat="1" applyFont="1" applyAlignment="1">
      <alignment horizontal="center" vertical="center"/>
    </xf>
    <xf numFmtId="170" fontId="1" fillId="0" borderId="0" xfId="4" applyNumberFormat="1" applyFont="1" applyAlignment="1">
      <alignment horizontal="center" vertical="center"/>
    </xf>
    <xf numFmtId="171" fontId="1" fillId="0" borderId="9" xfId="4" applyNumberFormat="1" applyFont="1" applyBorder="1" applyAlignment="1">
      <alignment horizontal="center" vertical="center"/>
    </xf>
    <xf numFmtId="165" fontId="5" fillId="0" borderId="0" xfId="4" applyNumberFormat="1" applyFont="1" applyAlignment="1">
      <alignment horizontal="center" vertical="center" wrapText="1"/>
    </xf>
    <xf numFmtId="172" fontId="1" fillId="0" borderId="0" xfId="1" applyNumberFormat="1" applyAlignment="1">
      <alignment vertical="center"/>
    </xf>
    <xf numFmtId="165" fontId="1" fillId="0" borderId="9" xfId="1" applyNumberFormat="1" applyBorder="1" applyAlignment="1">
      <alignment horizontal="center" vertical="center"/>
    </xf>
    <xf numFmtId="172" fontId="1" fillId="0" borderId="9" xfId="1" applyNumberFormat="1" applyBorder="1" applyAlignment="1">
      <alignment vertical="center"/>
    </xf>
    <xf numFmtId="169" fontId="1" fillId="0" borderId="0" xfId="1" applyNumberFormat="1" applyAlignment="1">
      <alignment horizontal="center" vertical="center"/>
    </xf>
    <xf numFmtId="0" fontId="2" fillId="0" borderId="15" xfId="1" applyFont="1" applyBorder="1" applyAlignment="1">
      <alignment horizontal="center" vertical="center"/>
    </xf>
    <xf numFmtId="2" fontId="1" fillId="0" borderId="16" xfId="1" applyNumberFormat="1" applyBorder="1" applyAlignment="1">
      <alignment horizontal="center" vertical="center"/>
    </xf>
    <xf numFmtId="173" fontId="1" fillId="0" borderId="16" xfId="1" applyNumberFormat="1" applyBorder="1" applyAlignment="1">
      <alignment vertical="center"/>
    </xf>
    <xf numFmtId="165" fontId="1" fillId="0" borderId="17" xfId="1" applyNumberFormat="1" applyBorder="1" applyAlignment="1">
      <alignment horizontal="center" vertical="center"/>
    </xf>
    <xf numFmtId="165" fontId="1" fillId="0" borderId="16" xfId="1" applyNumberFormat="1" applyBorder="1" applyAlignment="1">
      <alignment horizontal="center" vertical="center"/>
    </xf>
    <xf numFmtId="173" fontId="1" fillId="0" borderId="17" xfId="1" applyNumberFormat="1" applyBorder="1" applyAlignment="1">
      <alignment vertical="center"/>
    </xf>
    <xf numFmtId="168" fontId="1" fillId="0" borderId="22" xfId="1" applyNumberFormat="1" applyBorder="1" applyAlignment="1">
      <alignment horizontal="center" vertical="center"/>
    </xf>
    <xf numFmtId="165" fontId="1" fillId="0" borderId="15" xfId="1" applyNumberFormat="1" applyBorder="1" applyAlignment="1">
      <alignment horizontal="center" vertical="center"/>
    </xf>
    <xf numFmtId="168" fontId="1" fillId="0" borderId="16" xfId="1" applyNumberFormat="1" applyBorder="1" applyAlignment="1">
      <alignment horizontal="center" vertical="center"/>
    </xf>
    <xf numFmtId="169" fontId="1" fillId="0" borderId="16" xfId="1" applyNumberFormat="1" applyBorder="1" applyAlignment="1">
      <alignment horizontal="center" vertical="center"/>
    </xf>
    <xf numFmtId="168" fontId="2" fillId="0" borderId="16" xfId="1" applyNumberFormat="1" applyFont="1" applyBorder="1" applyAlignment="1">
      <alignment horizontal="center" vertical="center"/>
    </xf>
    <xf numFmtId="170" fontId="1" fillId="0" borderId="16" xfId="4" applyNumberFormat="1" applyFont="1" applyBorder="1" applyAlignment="1">
      <alignment horizontal="center" vertical="center"/>
    </xf>
    <xf numFmtId="171" fontId="1" fillId="0" borderId="17" xfId="4" applyNumberFormat="1" applyFont="1" applyBorder="1" applyAlignment="1">
      <alignment horizontal="center" vertical="center"/>
    </xf>
    <xf numFmtId="2" fontId="1" fillId="0" borderId="0" xfId="1" applyNumberFormat="1" applyAlignment="1">
      <alignment horizontal="center"/>
    </xf>
    <xf numFmtId="174" fontId="1" fillId="0" borderId="0" xfId="1" applyNumberFormat="1"/>
    <xf numFmtId="175" fontId="1" fillId="0" borderId="0" xfId="1" applyNumberFormat="1" applyAlignment="1">
      <alignment horizontal="center"/>
    </xf>
    <xf numFmtId="168" fontId="1" fillId="0" borderId="0" xfId="1" applyNumberFormat="1" applyAlignment="1">
      <alignment horizontal="center"/>
    </xf>
    <xf numFmtId="0" fontId="6" fillId="0" borderId="0" xfId="1" applyFont="1" applyAlignment="1">
      <alignment horizontal="center" vertical="center"/>
    </xf>
    <xf numFmtId="0" fontId="2" fillId="0" borderId="0" xfId="1" applyFont="1" applyAlignment="1">
      <alignment horizontal="left"/>
    </xf>
    <xf numFmtId="0" fontId="1" fillId="0" borderId="0" xfId="1" applyAlignment="1">
      <alignment horizontal="left"/>
    </xf>
    <xf numFmtId="176" fontId="1" fillId="0" borderId="0" xfId="4" applyNumberFormat="1" applyFont="1" applyAlignment="1">
      <alignment horizontal="center" vertical="center"/>
    </xf>
    <xf numFmtId="177" fontId="1" fillId="0" borderId="0" xfId="4" applyNumberFormat="1" applyFont="1" applyAlignment="1">
      <alignment horizontal="center" vertical="center"/>
    </xf>
    <xf numFmtId="0" fontId="1" fillId="0" borderId="0" xfId="1" applyAlignment="1">
      <alignment horizontal="left" vertical="center"/>
    </xf>
    <xf numFmtId="175" fontId="1" fillId="0" borderId="5" xfId="1" applyNumberFormat="1" applyBorder="1" applyAlignment="1">
      <alignment horizontal="center" vertical="center"/>
    </xf>
    <xf numFmtId="2" fontId="1" fillId="0" borderId="7" xfId="1" applyNumberFormat="1" applyBorder="1" applyAlignment="1">
      <alignment horizontal="center"/>
    </xf>
    <xf numFmtId="0" fontId="1" fillId="0" borderId="5" xfId="1" applyBorder="1" applyAlignment="1">
      <alignment horizontal="center" vertical="center"/>
    </xf>
    <xf numFmtId="0" fontId="1" fillId="0" borderId="7" xfId="1" applyBorder="1" applyAlignment="1">
      <alignment horizontal="center"/>
    </xf>
    <xf numFmtId="0" fontId="1" fillId="0" borderId="5" xfId="1" applyBorder="1" applyAlignment="1">
      <alignment horizontal="center"/>
    </xf>
    <xf numFmtId="0" fontId="1" fillId="0" borderId="10" xfId="1" applyBorder="1" applyAlignment="1">
      <alignment horizontal="center"/>
    </xf>
    <xf numFmtId="0" fontId="1" fillId="0" borderId="9" xfId="1" applyBorder="1"/>
    <xf numFmtId="0" fontId="1" fillId="0" borderId="15" xfId="1" applyBorder="1" applyAlignment="1">
      <alignment horizontal="center"/>
    </xf>
    <xf numFmtId="0" fontId="1" fillId="0" borderId="17" xfId="1" applyBorder="1" applyAlignment="1">
      <alignment horizontal="center"/>
    </xf>
    <xf numFmtId="0" fontId="1" fillId="0" borderId="15" xfId="1" applyBorder="1"/>
    <xf numFmtId="0" fontId="1" fillId="0" borderId="16" xfId="1" applyBorder="1" applyAlignment="1">
      <alignment horizontal="center"/>
    </xf>
    <xf numFmtId="0" fontId="1" fillId="0" borderId="8" xfId="1" applyBorder="1" applyAlignment="1">
      <alignment horizontal="center"/>
    </xf>
    <xf numFmtId="168" fontId="0" fillId="0" borderId="8" xfId="0" applyNumberFormat="1" applyBorder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7" fillId="0" borderId="6" xfId="1" applyFont="1" applyBorder="1" applyAlignment="1">
      <alignment horizontal="center" vertical="center"/>
    </xf>
    <xf numFmtId="168" fontId="0" fillId="0" borderId="9" xfId="0" applyNumberFormat="1" applyBorder="1" applyAlignment="1">
      <alignment horizontal="center" vertical="center"/>
    </xf>
    <xf numFmtId="168" fontId="0" fillId="0" borderId="8" xfId="0" applyNumberFormat="1" applyBorder="1" applyAlignment="1">
      <alignment horizontal="center"/>
    </xf>
    <xf numFmtId="168" fontId="0" fillId="0" borderId="9" xfId="0" applyNumberFormat="1" applyBorder="1" applyAlignment="1">
      <alignment horizontal="center"/>
    </xf>
    <xf numFmtId="168" fontId="0" fillId="0" borderId="7" xfId="0" applyNumberFormat="1" applyBorder="1" applyAlignment="1">
      <alignment horizontal="center"/>
    </xf>
    <xf numFmtId="165" fontId="0" fillId="0" borderId="7" xfId="0" applyNumberFormat="1" applyBorder="1" applyAlignment="1">
      <alignment horizontal="center" vertical="center"/>
    </xf>
    <xf numFmtId="165" fontId="0" fillId="0" borderId="5" xfId="0" applyNumberFormat="1" applyBorder="1" applyAlignment="1">
      <alignment horizontal="center" vertical="center"/>
    </xf>
    <xf numFmtId="168" fontId="1" fillId="0" borderId="9" xfId="1" applyNumberFormat="1" applyBorder="1" applyAlignment="1">
      <alignment horizontal="center" vertical="center"/>
    </xf>
    <xf numFmtId="168" fontId="1" fillId="0" borderId="5" xfId="1" applyNumberFormat="1" applyBorder="1" applyAlignment="1">
      <alignment horizontal="center" vertical="center"/>
    </xf>
    <xf numFmtId="178" fontId="1" fillId="0" borderId="0" xfId="4" applyNumberFormat="1" applyFont="1" applyAlignment="1">
      <alignment horizontal="center" vertical="center"/>
    </xf>
    <xf numFmtId="0" fontId="7" fillId="0" borderId="10" xfId="1" applyFont="1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0" fontId="1" fillId="0" borderId="10" xfId="1" applyBorder="1" applyAlignment="1">
      <alignment horizontal="center" vertical="center"/>
    </xf>
    <xf numFmtId="168" fontId="0" fillId="0" borderId="15" xfId="0" applyNumberFormat="1" applyBorder="1" applyAlignment="1">
      <alignment horizontal="center"/>
    </xf>
    <xf numFmtId="0" fontId="1" fillId="0" borderId="17" xfId="1" applyBorder="1"/>
    <xf numFmtId="168" fontId="0" fillId="0" borderId="0" xfId="0" applyNumberFormat="1" applyAlignment="1">
      <alignment horizontal="center"/>
    </xf>
    <xf numFmtId="168" fontId="0" fillId="0" borderId="7" xfId="0" applyNumberFormat="1" applyBorder="1" applyAlignment="1">
      <alignment horizontal="center" vertical="center"/>
    </xf>
    <xf numFmtId="168" fontId="0" fillId="0" borderId="4" xfId="0" applyNumberFormat="1" applyBorder="1" applyAlignment="1">
      <alignment horizontal="center" vertical="center"/>
    </xf>
    <xf numFmtId="168" fontId="0" fillId="0" borderId="17" xfId="0" applyNumberFormat="1" applyBorder="1" applyAlignment="1">
      <alignment horizontal="center"/>
    </xf>
    <xf numFmtId="168" fontId="0" fillId="0" borderId="15" xfId="0" applyNumberFormat="1" applyBorder="1" applyAlignment="1">
      <alignment horizontal="center" vertical="center"/>
    </xf>
    <xf numFmtId="168" fontId="0" fillId="0" borderId="16" xfId="0" applyNumberFormat="1" applyBorder="1" applyAlignment="1">
      <alignment horizontal="center" vertical="center"/>
    </xf>
    <xf numFmtId="0" fontId="1" fillId="0" borderId="22" xfId="1" applyBorder="1" applyAlignment="1">
      <alignment horizontal="center" vertical="center"/>
    </xf>
    <xf numFmtId="0" fontId="1" fillId="0" borderId="16" xfId="1" applyBorder="1"/>
    <xf numFmtId="168" fontId="1" fillId="0" borderId="17" xfId="1" applyNumberFormat="1" applyBorder="1" applyAlignment="1">
      <alignment horizontal="center" vertical="center"/>
    </xf>
    <xf numFmtId="165" fontId="0" fillId="0" borderId="15" xfId="0" applyNumberFormat="1" applyBorder="1" applyAlignment="1">
      <alignment horizontal="center" vertical="center"/>
    </xf>
    <xf numFmtId="165" fontId="0" fillId="0" borderId="17" xfId="0" applyNumberFormat="1" applyBorder="1" applyAlignment="1">
      <alignment horizontal="center" vertical="center"/>
    </xf>
    <xf numFmtId="168" fontId="0" fillId="0" borderId="5" xfId="0" applyNumberFormat="1" applyBorder="1" applyAlignment="1">
      <alignment horizontal="center" vertical="center"/>
    </xf>
    <xf numFmtId="168" fontId="0" fillId="0" borderId="17" xfId="0" applyNumberFormat="1" applyBorder="1" applyAlignment="1">
      <alignment horizontal="center" vertical="center"/>
    </xf>
    <xf numFmtId="168" fontId="1" fillId="0" borderId="7" xfId="1" applyNumberFormat="1" applyBorder="1" applyAlignment="1">
      <alignment horizontal="center" vertical="center"/>
    </xf>
    <xf numFmtId="168" fontId="1" fillId="0" borderId="8" xfId="1" applyNumberFormat="1" applyBorder="1" applyAlignment="1">
      <alignment horizontal="center" vertical="center"/>
    </xf>
    <xf numFmtId="168" fontId="1" fillId="0" borderId="15" xfId="1" applyNumberFormat="1" applyBorder="1" applyAlignment="1">
      <alignment horizontal="center" vertical="center"/>
    </xf>
    <xf numFmtId="0" fontId="0" fillId="2" borderId="0" xfId="0" applyFill="1"/>
    <xf numFmtId="164" fontId="1" fillId="0" borderId="0" xfId="2" applyNumberFormat="1" applyAlignment="1">
      <alignment horizontal="center" vertical="center"/>
    </xf>
    <xf numFmtId="165" fontId="1" fillId="0" borderId="0" xfId="2" applyNumberFormat="1" applyAlignment="1">
      <alignment horizontal="center" vertical="center"/>
    </xf>
    <xf numFmtId="165" fontId="1" fillId="0" borderId="0" xfId="3" applyNumberFormat="1" applyAlignment="1">
      <alignment horizontal="center" vertical="center"/>
    </xf>
  </cellXfs>
  <cellStyles count="5">
    <cellStyle name="Normal" xfId="0" builtinId="0"/>
    <cellStyle name="Normal 2" xfId="1" xr:uid="{FEFC8D0A-0468-4581-A2F6-4FD337C76979}"/>
    <cellStyle name="Normal_AB-SUMM" xfId="3" xr:uid="{B452B258-E729-4222-A36B-AA607E9C429B}"/>
    <cellStyle name="Normal_G-O-SUMM" xfId="2" xr:uid="{35A6B226-370B-47D5-AA99-03BBDBC9F8FF}"/>
    <cellStyle name="Normal_New RCA Format" xfId="4" xr:uid="{FDEA90C2-9612-4D77-A455-589E7A7824E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2341784907788"/>
          <c:y val="2.0821054166474805E-2"/>
          <c:w val="0.80940995533322213"/>
          <c:h val="0.86877463465504923"/>
        </c:manualLayout>
      </c:layout>
      <c:scatterChart>
        <c:scatterStyle val="lineMarker"/>
        <c:varyColors val="0"/>
        <c:ser>
          <c:idx val="9"/>
          <c:order val="0"/>
          <c:tx>
            <c:v>Timor Leste Sunrise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3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'6_Keff_Swirr'!$AO$38:$AO$50</c:f>
              <c:numCache>
                <c:formatCode>General</c:formatCode>
                <c:ptCount val="13"/>
                <c:pt idx="0">
                  <c:v>0.16900000000000004</c:v>
                </c:pt>
                <c:pt idx="1">
                  <c:v>6.3999999999999946E-2</c:v>
                </c:pt>
                <c:pt idx="2">
                  <c:v>0.29800000000000004</c:v>
                </c:pt>
                <c:pt idx="3">
                  <c:v>0.76200000000000001</c:v>
                </c:pt>
                <c:pt idx="4">
                  <c:v>0.90200000000000002</c:v>
                </c:pt>
                <c:pt idx="5">
                  <c:v>0.89200000000000002</c:v>
                </c:pt>
                <c:pt idx="6">
                  <c:v>0.94</c:v>
                </c:pt>
                <c:pt idx="7">
                  <c:v>0.80800000000000005</c:v>
                </c:pt>
                <c:pt idx="8">
                  <c:v>0.86899999999999999</c:v>
                </c:pt>
                <c:pt idx="9">
                  <c:v>0.89600000000000002</c:v>
                </c:pt>
                <c:pt idx="10">
                  <c:v>0.88</c:v>
                </c:pt>
                <c:pt idx="11">
                  <c:v>0.77900000000000003</c:v>
                </c:pt>
                <c:pt idx="12">
                  <c:v>0.82600000000000007</c:v>
                </c:pt>
              </c:numCache>
            </c:numRef>
          </c:xVal>
          <c:yVal>
            <c:numRef>
              <c:f>'6_Keff_Swirr'!$AK$38:$AK$50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0.33100000000000002</c:v>
                </c:pt>
                <c:pt idx="4">
                  <c:v>0.30299999999999999</c:v>
                </c:pt>
                <c:pt idx="5">
                  <c:v>#N/A</c:v>
                </c:pt>
                <c:pt idx="6">
                  <c:v>0.26900000000000002</c:v>
                </c:pt>
                <c:pt idx="7">
                  <c:v>#N/A</c:v>
                </c:pt>
                <c:pt idx="8">
                  <c:v>0.27900000000000003</c:v>
                </c:pt>
                <c:pt idx="9">
                  <c:v>0.27900000000000003</c:v>
                </c:pt>
                <c:pt idx="10">
                  <c:v>0.35</c:v>
                </c:pt>
                <c:pt idx="11">
                  <c:v>0.39</c:v>
                </c:pt>
                <c:pt idx="12">
                  <c:v>0.373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43-4C21-AB41-8A3672B64CF3}"/>
            </c:ext>
          </c:extLst>
        </c:ser>
        <c:ser>
          <c:idx val="6"/>
          <c:order val="1"/>
          <c:tx>
            <c:v>M1 - 1 plug @0.3 mD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8"/>
            <c:spPr>
              <a:solidFill>
                <a:schemeClr val="accent1"/>
              </a:solidFill>
              <a:ln w="15875">
                <a:solidFill>
                  <a:schemeClr val="tx1"/>
                </a:solidFill>
              </a:ln>
              <a:effectLst/>
            </c:spPr>
          </c:marker>
          <c:xVal>
            <c:numRef>
              <c:f>'6_Keff_Swirr'!$D$126:$D$137</c:f>
              <c:numCache>
                <c:formatCode>0.0000</c:formatCode>
                <c:ptCount val="12"/>
                <c:pt idx="0">
                  <c:v>2.3406183353982899E-2</c:v>
                </c:pt>
                <c:pt idx="1">
                  <c:v>2.9013741486354602E-2</c:v>
                </c:pt>
                <c:pt idx="2">
                  <c:v>7.9192678435748107E-2</c:v>
                </c:pt>
                <c:pt idx="3">
                  <c:v>0.22900464456598299</c:v>
                </c:pt>
                <c:pt idx="4">
                  <c:v>0.39330404233035998</c:v>
                </c:pt>
                <c:pt idx="5">
                  <c:v>0.48528361971127099</c:v>
                </c:pt>
                <c:pt idx="6">
                  <c:v>0.54636929323905203</c:v>
                </c:pt>
                <c:pt idx="7">
                  <c:v>0.63454272614638996</c:v>
                </c:pt>
                <c:pt idx="8">
                  <c:v>0.64838361711011705</c:v>
                </c:pt>
                <c:pt idx="9">
                  <c:v>0.72471137457303403</c:v>
                </c:pt>
                <c:pt idx="10">
                  <c:v>0.97991295398384104</c:v>
                </c:pt>
                <c:pt idx="11">
                  <c:v>0.99905996860712398</c:v>
                </c:pt>
              </c:numCache>
            </c:numRef>
          </c:xVal>
          <c:yVal>
            <c:numRef>
              <c:f>'6_Keff_Swirr'!$E$126:$E$137</c:f>
              <c:numCache>
                <c:formatCode>0.0000</c:formatCode>
                <c:ptCount val="12"/>
                <c:pt idx="0">
                  <c:v>-1.80464553634818E-3</c:v>
                </c:pt>
                <c:pt idx="1">
                  <c:v>3.8110934678551298E-3</c:v>
                </c:pt>
                <c:pt idx="2">
                  <c:v>1.21472360916049E-2</c:v>
                </c:pt>
                <c:pt idx="3">
                  <c:v>5.2277954656195599E-2</c:v>
                </c:pt>
                <c:pt idx="4">
                  <c:v>7.7960836940010103E-2</c:v>
                </c:pt>
                <c:pt idx="5">
                  <c:v>7.2431791108945598E-2</c:v>
                </c:pt>
                <c:pt idx="6">
                  <c:v>8.2751687924561099E-2</c:v>
                </c:pt>
                <c:pt idx="7">
                  <c:v>6.7806330935252193E-2</c:v>
                </c:pt>
                <c:pt idx="8">
                  <c:v>5.7287143798905198E-2</c:v>
                </c:pt>
                <c:pt idx="9">
                  <c:v>7.2340259680701902E-2</c:v>
                </c:pt>
                <c:pt idx="10">
                  <c:v>9.8224808123746302E-2</c:v>
                </c:pt>
                <c:pt idx="11">
                  <c:v>8.2482151262134304E-2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25-4F0D-9F25-6C44F7252E28}"/>
            </c:ext>
          </c:extLst>
        </c:ser>
        <c:ser>
          <c:idx val="2"/>
          <c:order val="2"/>
          <c:tx>
            <c:v>M1 - 4 plugs @203, 430, 663 &amp; 790 mD</c:v>
          </c:tx>
          <c:spPr>
            <a:ln w="25400" cap="rnd">
              <a:noFill/>
              <a:round/>
            </a:ln>
            <a:effectLst/>
          </c:spPr>
          <c:marker>
            <c:symbol val="x"/>
            <c:size val="8"/>
            <c:spPr>
              <a:noFill/>
              <a:ln w="15875">
                <a:solidFill>
                  <a:schemeClr val="tx1"/>
                </a:solidFill>
              </a:ln>
              <a:effectLst/>
            </c:spPr>
          </c:marker>
          <c:xVal>
            <c:numRef>
              <c:f>'6_Keff_Swirr'!$D$82:$D$125</c:f>
              <c:numCache>
                <c:formatCode>0.0000</c:formatCode>
                <c:ptCount val="44"/>
                <c:pt idx="0">
                  <c:v>1.4972448813968101E-2</c:v>
                </c:pt>
                <c:pt idx="1">
                  <c:v>3.72701277621907E-2</c:v>
                </c:pt>
                <c:pt idx="2">
                  <c:v>7.45361560043592E-2</c:v>
                </c:pt>
                <c:pt idx="3">
                  <c:v>9.1569105200918294E-2</c:v>
                </c:pt>
                <c:pt idx="4">
                  <c:v>0.126460843555081</c:v>
                </c:pt>
                <c:pt idx="5">
                  <c:v>0.16169992048109599</c:v>
                </c:pt>
                <c:pt idx="6">
                  <c:v>0.165440489716419</c:v>
                </c:pt>
                <c:pt idx="7">
                  <c:v>0.208218999698564</c:v>
                </c:pt>
                <c:pt idx="8">
                  <c:v>0.23728856632735801</c:v>
                </c:pt>
                <c:pt idx="9">
                  <c:v>0.26079747721844798</c:v>
                </c:pt>
                <c:pt idx="10">
                  <c:v>0.26530105780601398</c:v>
                </c:pt>
                <c:pt idx="11">
                  <c:v>0.30097734412317101</c:v>
                </c:pt>
                <c:pt idx="12">
                  <c:v>0.309115996939272</c:v>
                </c:pt>
                <c:pt idx="13">
                  <c:v>0.33308600180861098</c:v>
                </c:pt>
                <c:pt idx="14">
                  <c:v>0.334572513738493</c:v>
                </c:pt>
                <c:pt idx="15">
                  <c:v>0.320725930391634</c:v>
                </c:pt>
                <c:pt idx="16">
                  <c:v>0.36796948176316402</c:v>
                </c:pt>
                <c:pt idx="17">
                  <c:v>0.394280742922067</c:v>
                </c:pt>
                <c:pt idx="18">
                  <c:v>0.402952062513043</c:v>
                </c:pt>
                <c:pt idx="19">
                  <c:v>0.46761533146288797</c:v>
                </c:pt>
                <c:pt idx="20">
                  <c:v>0.49362929023581498</c:v>
                </c:pt>
                <c:pt idx="21">
                  <c:v>0.503886222551997</c:v>
                </c:pt>
                <c:pt idx="22">
                  <c:v>0.53406241472859195</c:v>
                </c:pt>
                <c:pt idx="23">
                  <c:v>0.55903581515060097</c:v>
                </c:pt>
                <c:pt idx="24">
                  <c:v>0.572414422519535</c:v>
                </c:pt>
                <c:pt idx="25">
                  <c:v>0.63782094743432205</c:v>
                </c:pt>
                <c:pt idx="26">
                  <c:v>0.67647025761124102</c:v>
                </c:pt>
                <c:pt idx="27">
                  <c:v>0.67888583949729797</c:v>
                </c:pt>
                <c:pt idx="28">
                  <c:v>0.69876793655946401</c:v>
                </c:pt>
                <c:pt idx="29">
                  <c:v>0.724899251537381</c:v>
                </c:pt>
                <c:pt idx="30">
                  <c:v>0.75376887796507996</c:v>
                </c:pt>
                <c:pt idx="31">
                  <c:v>0.80282377165117003</c:v>
                </c:pt>
                <c:pt idx="32">
                  <c:v>0.83973881790989402</c:v>
                </c:pt>
                <c:pt idx="33">
                  <c:v>0.87120332042571902</c:v>
                </c:pt>
                <c:pt idx="34">
                  <c:v>0.87541510422705004</c:v>
                </c:pt>
                <c:pt idx="35">
                  <c:v>0.90687960674287604</c:v>
                </c:pt>
                <c:pt idx="36">
                  <c:v>0.907404258012246</c:v>
                </c:pt>
                <c:pt idx="37">
                  <c:v>0.93826152526259599</c:v>
                </c:pt>
                <c:pt idx="38">
                  <c:v>0.95552908808445203</c:v>
                </c:pt>
                <c:pt idx="39">
                  <c:v>0.98695304936582595</c:v>
                </c:pt>
                <c:pt idx="40">
                  <c:v>0.99309729867600305</c:v>
                </c:pt>
                <c:pt idx="41">
                  <c:v>1.01167869779952</c:v>
                </c:pt>
                <c:pt idx="42">
                  <c:v>1.0035028821851699</c:v>
                </c:pt>
                <c:pt idx="43">
                  <c:v>2.6837016254318599E-2</c:v>
                </c:pt>
              </c:numCache>
            </c:numRef>
          </c:xVal>
          <c:yVal>
            <c:numRef>
              <c:f>'6_Keff_Swirr'!$E$82:$E$125</c:f>
              <c:numCache>
                <c:formatCode>0.0000</c:formatCode>
                <c:ptCount val="44"/>
                <c:pt idx="0">
                  <c:v>1.3443676503968899E-2</c:v>
                </c:pt>
                <c:pt idx="1">
                  <c:v>2.2213584869493801E-2</c:v>
                </c:pt>
                <c:pt idx="2">
                  <c:v>4.1502380151645098E-2</c:v>
                </c:pt>
                <c:pt idx="3">
                  <c:v>5.8765116258698402E-2</c:v>
                </c:pt>
                <c:pt idx="4">
                  <c:v>7.5755101895950694E-2</c:v>
                </c:pt>
                <c:pt idx="5">
                  <c:v>9.6609047424273994E-2</c:v>
                </c:pt>
                <c:pt idx="6">
                  <c:v>0.109630764995375</c:v>
                </c:pt>
                <c:pt idx="7">
                  <c:v>0.12727975256954199</c:v>
                </c:pt>
                <c:pt idx="8">
                  <c:v>0.14199755323441701</c:v>
                </c:pt>
                <c:pt idx="9">
                  <c:v>0.17356088951471199</c:v>
                </c:pt>
                <c:pt idx="10">
                  <c:v>0.15184627815954399</c:v>
                </c:pt>
                <c:pt idx="11">
                  <c:v>0.16454578081171101</c:v>
                </c:pt>
                <c:pt idx="12">
                  <c:v>0.18681870750110099</c:v>
                </c:pt>
                <c:pt idx="13">
                  <c:v>0.16992722927786899</c:v>
                </c:pt>
                <c:pt idx="14">
                  <c:v>0.19419908782897</c:v>
                </c:pt>
                <c:pt idx="15">
                  <c:v>0.18873615036932201</c:v>
                </c:pt>
                <c:pt idx="16">
                  <c:v>0.21368590668738</c:v>
                </c:pt>
                <c:pt idx="17">
                  <c:v>0.22105996383394699</c:v>
                </c:pt>
                <c:pt idx="18">
                  <c:v>0.248021766658164</c:v>
                </c:pt>
                <c:pt idx="19">
                  <c:v>0.27683229481917698</c:v>
                </c:pt>
                <c:pt idx="20">
                  <c:v>0.27312568518716002</c:v>
                </c:pt>
                <c:pt idx="21">
                  <c:v>0.29955164214591001</c:v>
                </c:pt>
                <c:pt idx="22">
                  <c:v>0.30204565680586798</c:v>
                </c:pt>
                <c:pt idx="23">
                  <c:v>0.298834130365355</c:v>
                </c:pt>
                <c:pt idx="24">
                  <c:v>0.31818389098862998</c:v>
                </c:pt>
                <c:pt idx="25">
                  <c:v>0.36839677746809801</c:v>
                </c:pt>
                <c:pt idx="26">
                  <c:v>0.37712265755250002</c:v>
                </c:pt>
                <c:pt idx="27">
                  <c:v>0.35444195575084397</c:v>
                </c:pt>
                <c:pt idx="28">
                  <c:v>0.35619062426786002</c:v>
                </c:pt>
                <c:pt idx="29">
                  <c:v>0.38864327423981099</c:v>
                </c:pt>
                <c:pt idx="30">
                  <c:v>0.39353414841437301</c:v>
                </c:pt>
                <c:pt idx="31">
                  <c:v>0.38806992200484602</c:v>
                </c:pt>
                <c:pt idx="32">
                  <c:v>0.38880821041729402</c:v>
                </c:pt>
                <c:pt idx="33">
                  <c:v>0.40149070560451799</c:v>
                </c:pt>
                <c:pt idx="34">
                  <c:v>0.38708096613876802</c:v>
                </c:pt>
                <c:pt idx="35">
                  <c:v>0.39728006546640598</c:v>
                </c:pt>
                <c:pt idx="36">
                  <c:v>0.37783500011466298</c:v>
                </c:pt>
                <c:pt idx="37">
                  <c:v>0.38867983410512702</c:v>
                </c:pt>
                <c:pt idx="38">
                  <c:v>0.38310443160924901</c:v>
                </c:pt>
                <c:pt idx="39">
                  <c:v>0.38549030294339898</c:v>
                </c:pt>
                <c:pt idx="40">
                  <c:v>0.40673224426854798</c:v>
                </c:pt>
                <c:pt idx="41">
                  <c:v>0.390316804390134</c:v>
                </c:pt>
                <c:pt idx="42">
                  <c:v>0.37553682460330301</c:v>
                </c:pt>
                <c:pt idx="43">
                  <c:v>7.1729439922914003E-3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25-4F0D-9F25-6C44F7252E28}"/>
            </c:ext>
          </c:extLst>
        </c:ser>
        <c:ser>
          <c:idx val="0"/>
          <c:order val="3"/>
          <c:tx>
            <c:v>M3 - 2 plugs @52 &amp; 2950 mD</c:v>
          </c:tx>
          <c:spPr>
            <a:ln w="28575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15875">
                <a:solidFill>
                  <a:schemeClr val="tx1"/>
                </a:solidFill>
              </a:ln>
              <a:effectLst/>
            </c:spPr>
          </c:marker>
          <c:xVal>
            <c:numRef>
              <c:f>'6_Keff_Swirr'!$D$40:$D$65</c:f>
              <c:numCache>
                <c:formatCode>0.0000</c:formatCode>
                <c:ptCount val="26"/>
                <c:pt idx="0">
                  <c:v>0.11605526004591001</c:v>
                </c:pt>
                <c:pt idx="1">
                  <c:v>0.15321805829294799</c:v>
                </c:pt>
                <c:pt idx="2">
                  <c:v>0.27065250075358799</c:v>
                </c:pt>
                <c:pt idx="3">
                  <c:v>0.30038273935121801</c:v>
                </c:pt>
                <c:pt idx="4">
                  <c:v>0.31822088250979602</c:v>
                </c:pt>
                <c:pt idx="5">
                  <c:v>0.37636001576738398</c:v>
                </c:pt>
                <c:pt idx="6">
                  <c:v>0.40642059034943301</c:v>
                </c:pt>
                <c:pt idx="7">
                  <c:v>0.43383847705613598</c:v>
                </c:pt>
                <c:pt idx="8">
                  <c:v>0.45943951584853998</c:v>
                </c:pt>
                <c:pt idx="9">
                  <c:v>0.61403675655621703</c:v>
                </c:pt>
                <c:pt idx="10">
                  <c:v>0.69975894451271803</c:v>
                </c:pt>
                <c:pt idx="11">
                  <c:v>0.76566097340413197</c:v>
                </c:pt>
                <c:pt idx="12">
                  <c:v>0.80431028358105106</c:v>
                </c:pt>
                <c:pt idx="13">
                  <c:v>0.85527640689127404</c:v>
                </c:pt>
                <c:pt idx="14">
                  <c:v>0.88606843972453397</c:v>
                </c:pt>
                <c:pt idx="15">
                  <c:v>0.91282565446240105</c:v>
                </c:pt>
                <c:pt idx="16">
                  <c:v>0.95333310455167297</c:v>
                </c:pt>
                <c:pt idx="17">
                  <c:v>0.98417822709671399</c:v>
                </c:pt>
                <c:pt idx="18">
                  <c:v>1.0094489299047</c:v>
                </c:pt>
                <c:pt idx="19">
                  <c:v>0.50857699353073405</c:v>
                </c:pt>
                <c:pt idx="20">
                  <c:v>0.50857699353073405</c:v>
                </c:pt>
                <c:pt idx="21">
                  <c:v>0.67546548565863596</c:v>
                </c:pt>
                <c:pt idx="22">
                  <c:v>0.96106847218679703</c:v>
                </c:pt>
                <c:pt idx="23">
                  <c:v>0.97999397129408505</c:v>
                </c:pt>
                <c:pt idx="24">
                  <c:v>2.6837016254318599E-2</c:v>
                </c:pt>
                <c:pt idx="25">
                  <c:v>0.36405500034781002</c:v>
                </c:pt>
              </c:numCache>
            </c:numRef>
          </c:xVal>
          <c:yVal>
            <c:numRef>
              <c:f>'6_Keff_Swirr'!$E$40:$E$65</c:f>
              <c:numCache>
                <c:formatCode>0.0000</c:formatCode>
                <c:ptCount val="26"/>
                <c:pt idx="0">
                  <c:v>3.846473890293E-2</c:v>
                </c:pt>
                <c:pt idx="1">
                  <c:v>6.8279763736560903E-2</c:v>
                </c:pt>
                <c:pt idx="2">
                  <c:v>0.119697911085722</c:v>
                </c:pt>
                <c:pt idx="3">
                  <c:v>0.138642980097541</c:v>
                </c:pt>
                <c:pt idx="4">
                  <c:v>0.13862315993847599</c:v>
                </c:pt>
                <c:pt idx="5">
                  <c:v>0.164181532372003</c:v>
                </c:pt>
                <c:pt idx="6">
                  <c:v>0.182516209768049</c:v>
                </c:pt>
                <c:pt idx="7">
                  <c:v>0.18966575865080601</c:v>
                </c:pt>
                <c:pt idx="8">
                  <c:v>0.197708705791422</c:v>
                </c:pt>
                <c:pt idx="9">
                  <c:v>0.249961802366653</c:v>
                </c:pt>
                <c:pt idx="10">
                  <c:v>0.25221744658025502</c:v>
                </c:pt>
                <c:pt idx="11">
                  <c:v>0.27107494051955</c:v>
                </c:pt>
                <c:pt idx="12">
                  <c:v>0.26135707248514001</c:v>
                </c:pt>
                <c:pt idx="13">
                  <c:v>0.262531302865181</c:v>
                </c:pt>
                <c:pt idx="14">
                  <c:v>0.26791100848726501</c:v>
                </c:pt>
                <c:pt idx="15">
                  <c:v>0.267731676088452</c:v>
                </c:pt>
                <c:pt idx="16">
                  <c:v>0.27297617276107</c:v>
                </c:pt>
                <c:pt idx="17">
                  <c:v>0.27290271888453399</c:v>
                </c:pt>
                <c:pt idx="18">
                  <c:v>0.27021029709153499</c:v>
                </c:pt>
                <c:pt idx="19">
                  <c:v>0.218870900673205</c:v>
                </c:pt>
                <c:pt idx="20">
                  <c:v>0.230298843467484</c:v>
                </c:pt>
                <c:pt idx="21">
                  <c:v>0.267662366705054</c:v>
                </c:pt>
                <c:pt idx="22">
                  <c:v>0.27877297284763602</c:v>
                </c:pt>
                <c:pt idx="23">
                  <c:v>0.279568226143457</c:v>
                </c:pt>
                <c:pt idx="24">
                  <c:v>-1.7359066117395E-4</c:v>
                </c:pt>
                <c:pt idx="25">
                  <c:v>0.17658483600116401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325-4F0D-9F25-6C44F7252E28}"/>
            </c:ext>
          </c:extLst>
        </c:ser>
        <c:ser>
          <c:idx val="1"/>
          <c:order val="4"/>
          <c:tx>
            <c:v>M3 - 1 plug @962 mD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8"/>
            <c:spPr>
              <a:noFill/>
              <a:ln w="15875">
                <a:solidFill>
                  <a:schemeClr val="tx1"/>
                </a:solidFill>
              </a:ln>
              <a:effectLst/>
            </c:spPr>
          </c:marker>
          <c:xVal>
            <c:numRef>
              <c:f>'6_Keff_Swirr'!$D$66:$D$81</c:f>
              <c:numCache>
                <c:formatCode>0.0000</c:formatCode>
                <c:ptCount val="16"/>
                <c:pt idx="0">
                  <c:v>0.37682110974563499</c:v>
                </c:pt>
                <c:pt idx="1">
                  <c:v>0.44966019430982901</c:v>
                </c:pt>
                <c:pt idx="2">
                  <c:v>0.60535167296589099</c:v>
                </c:pt>
                <c:pt idx="3">
                  <c:v>0.65417257866301803</c:v>
                </c:pt>
                <c:pt idx="4">
                  <c:v>0.68984886498017495</c:v>
                </c:pt>
                <c:pt idx="5">
                  <c:v>0.887554951654416</c:v>
                </c:pt>
                <c:pt idx="6">
                  <c:v>0.927690773761217</c:v>
                </c:pt>
                <c:pt idx="7">
                  <c:v>0.96039403621860997</c:v>
                </c:pt>
                <c:pt idx="8">
                  <c:v>0.99309729867600305</c:v>
                </c:pt>
                <c:pt idx="9">
                  <c:v>1.01093544183458</c:v>
                </c:pt>
                <c:pt idx="10">
                  <c:v>0.29007350383750302</c:v>
                </c:pt>
                <c:pt idx="11">
                  <c:v>0.26770700489252602</c:v>
                </c:pt>
                <c:pt idx="12">
                  <c:v>0.17996150903146499</c:v>
                </c:pt>
                <c:pt idx="13">
                  <c:v>0.105980012521158</c:v>
                </c:pt>
                <c:pt idx="14">
                  <c:v>0.14383101073573401</c:v>
                </c:pt>
                <c:pt idx="15">
                  <c:v>3.5439515848540298E-2</c:v>
                </c:pt>
              </c:numCache>
            </c:numRef>
          </c:xVal>
          <c:yVal>
            <c:numRef>
              <c:f>'6_Keff_Swirr'!$E$66:$E$81</c:f>
              <c:numCache>
                <c:formatCode>0.0000</c:formatCode>
                <c:ptCount val="16"/>
                <c:pt idx="0">
                  <c:v>0.180511006110634</c:v>
                </c:pt>
                <c:pt idx="1">
                  <c:v>0.21876200602767501</c:v>
                </c:pt>
                <c:pt idx="2">
                  <c:v>0.27441745465975098</c:v>
                </c:pt>
                <c:pt idx="3">
                  <c:v>0.29789675696375201</c:v>
                </c:pt>
                <c:pt idx="4">
                  <c:v>0.30343514004796202</c:v>
                </c:pt>
                <c:pt idx="5">
                  <c:v>0.31748110118178002</c:v>
                </c:pt>
                <c:pt idx="6">
                  <c:v>0.31984082625592702</c:v>
                </c:pt>
                <c:pt idx="7">
                  <c:v>0.32345905635434702</c:v>
                </c:pt>
                <c:pt idx="8">
                  <c:v>0.325217945318653</c:v>
                </c:pt>
                <c:pt idx="9">
                  <c:v>0.32615985333240499</c:v>
                </c:pt>
                <c:pt idx="10">
                  <c:v>0.13993436439662699</c:v>
                </c:pt>
                <c:pt idx="11">
                  <c:v>0.120368456986213</c:v>
                </c:pt>
                <c:pt idx="12">
                  <c:v>0.120465951981615</c:v>
                </c:pt>
                <c:pt idx="13">
                  <c:v>3.9736272456285297E-2</c:v>
                </c:pt>
                <c:pt idx="14">
                  <c:v>6.9080354405463895E-2</c:v>
                </c:pt>
                <c:pt idx="15">
                  <c:v>-9.99430622219188E-4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325-4F0D-9F25-6C44F7252E28}"/>
            </c:ext>
          </c:extLst>
        </c:ser>
        <c:ser>
          <c:idx val="7"/>
          <c:order val="5"/>
          <c:tx>
            <c:v>M3 - 2 plugs @2 &amp; 3 mD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8"/>
            <c:spPr>
              <a:noFill/>
              <a:ln w="19050">
                <a:solidFill>
                  <a:schemeClr val="tx1"/>
                </a:solidFill>
              </a:ln>
              <a:effectLst/>
            </c:spPr>
          </c:marker>
          <c:xVal>
            <c:numRef>
              <c:f>'6_Keff_Swirr'!$D$138:$D$164</c:f>
              <c:numCache>
                <c:formatCode>0.0000</c:formatCode>
                <c:ptCount val="27"/>
                <c:pt idx="0">
                  <c:v>3.2709772966583499E-2</c:v>
                </c:pt>
                <c:pt idx="1">
                  <c:v>4.8978647042135601E-2</c:v>
                </c:pt>
                <c:pt idx="2">
                  <c:v>2.3083549977051698E-2</c:v>
                </c:pt>
                <c:pt idx="3">
                  <c:v>5.6001717830942897E-2</c:v>
                </c:pt>
                <c:pt idx="4">
                  <c:v>9.7251183789100706E-2</c:v>
                </c:pt>
                <c:pt idx="5">
                  <c:v>0.176874244470659</c:v>
                </c:pt>
                <c:pt idx="6">
                  <c:v>0.39339672042832402</c:v>
                </c:pt>
                <c:pt idx="7">
                  <c:v>0.40472074584145601</c:v>
                </c:pt>
                <c:pt idx="8">
                  <c:v>0.51228060114485396</c:v>
                </c:pt>
                <c:pt idx="9">
                  <c:v>0.59999591133430397</c:v>
                </c:pt>
                <c:pt idx="10">
                  <c:v>0.62173503520213003</c:v>
                </c:pt>
                <c:pt idx="11">
                  <c:v>0.626257895591665</c:v>
                </c:pt>
                <c:pt idx="12">
                  <c:v>0.63137361884266097</c:v>
                </c:pt>
                <c:pt idx="13">
                  <c:v>0.71411114239867601</c:v>
                </c:pt>
                <c:pt idx="14">
                  <c:v>0.71399824520913102</c:v>
                </c:pt>
                <c:pt idx="15">
                  <c:v>0.74679065483541696</c:v>
                </c:pt>
                <c:pt idx="16">
                  <c:v>0.76321766154293602</c:v>
                </c:pt>
                <c:pt idx="17">
                  <c:v>0.79659011423251502</c:v>
                </c:pt>
                <c:pt idx="18">
                  <c:v>0.80530303461515895</c:v>
                </c:pt>
                <c:pt idx="19">
                  <c:v>0.80877958402385397</c:v>
                </c:pt>
                <c:pt idx="20">
                  <c:v>0.84596537880306799</c:v>
                </c:pt>
                <c:pt idx="21">
                  <c:v>0.88132513618251496</c:v>
                </c:pt>
                <c:pt idx="22">
                  <c:v>0.95949494373836897</c:v>
                </c:pt>
                <c:pt idx="23">
                  <c:v>0.98097150665031896</c:v>
                </c:pt>
                <c:pt idx="24">
                  <c:v>0.99581299286453195</c:v>
                </c:pt>
                <c:pt idx="25">
                  <c:v>0.83683035916789905</c:v>
                </c:pt>
                <c:pt idx="26">
                  <c:v>0.99781451005652</c:v>
                </c:pt>
              </c:numCache>
            </c:numRef>
          </c:xVal>
          <c:yVal>
            <c:numRef>
              <c:f>'6_Keff_Swirr'!$E$138:$E$164</c:f>
              <c:numCache>
                <c:formatCode>0.0000</c:formatCode>
                <c:ptCount val="27"/>
                <c:pt idx="0">
                  <c:v>9.3606520860620695E-3</c:v>
                </c:pt>
                <c:pt idx="1">
                  <c:v>3.8534371712582699E-2</c:v>
                </c:pt>
                <c:pt idx="2">
                  <c:v>-1.24559977018945E-3</c:v>
                </c:pt>
                <c:pt idx="3">
                  <c:v>2.87140860911347E-2</c:v>
                </c:pt>
                <c:pt idx="4">
                  <c:v>3.8953329568083499E-2</c:v>
                </c:pt>
                <c:pt idx="5">
                  <c:v>9.9344054262087006E-2</c:v>
                </c:pt>
                <c:pt idx="6">
                  <c:v>0.19956684289312501</c:v>
                </c:pt>
                <c:pt idx="7">
                  <c:v>0.219348869451328</c:v>
                </c:pt>
                <c:pt idx="8">
                  <c:v>0.22477927035303999</c:v>
                </c:pt>
                <c:pt idx="9">
                  <c:v>0.27437806791712199</c:v>
                </c:pt>
                <c:pt idx="10">
                  <c:v>0.26991490454605199</c:v>
                </c:pt>
                <c:pt idx="11">
                  <c:v>0.229622018853222</c:v>
                </c:pt>
                <c:pt idx="12">
                  <c:v>0.240197821673231</c:v>
                </c:pt>
                <c:pt idx="13">
                  <c:v>0.279790955610627</c:v>
                </c:pt>
                <c:pt idx="14">
                  <c:v>0.23445780640386599</c:v>
                </c:pt>
                <c:pt idx="15">
                  <c:v>0.229589001026579</c:v>
                </c:pt>
                <c:pt idx="16">
                  <c:v>0.284324957275776</c:v>
                </c:pt>
                <c:pt idx="17">
                  <c:v>0.26939250972240503</c:v>
                </c:pt>
                <c:pt idx="18">
                  <c:v>0.229987992180615</c:v>
                </c:pt>
                <c:pt idx="19">
                  <c:v>0.26971758005805901</c:v>
                </c:pt>
                <c:pt idx="20">
                  <c:v>0.269225136337368</c:v>
                </c:pt>
                <c:pt idx="21">
                  <c:v>0.27962802277790499</c:v>
                </c:pt>
                <c:pt idx="22">
                  <c:v>0.27441123342762602</c:v>
                </c:pt>
                <c:pt idx="23">
                  <c:v>0.23501156039495499</c:v>
                </c:pt>
                <c:pt idx="24">
                  <c:v>0.245051658576248</c:v>
                </c:pt>
                <c:pt idx="25">
                  <c:v>0.26986128625472799</c:v>
                </c:pt>
                <c:pt idx="26">
                  <c:v>0.30466582597730102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325-4F0D-9F25-6C44F7252E28}"/>
            </c:ext>
          </c:extLst>
        </c:ser>
        <c:ser>
          <c:idx val="3"/>
          <c:order val="6"/>
          <c:tx>
            <c:v>Regression Model 1</c:v>
          </c:tx>
          <c:spPr>
            <a:ln w="3175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xVal>
            <c:numRef>
              <c:f>'6_Keff_Swirr'!$S$40:$S$90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xVal>
          <c:yVal>
            <c:numRef>
              <c:f>'6_Keff_Swirr'!$T$40:$T$90</c:f>
              <c:numCache>
                <c:formatCode>General</c:formatCode>
                <c:ptCount val="51"/>
                <c:pt idx="0">
                  <c:v>0</c:v>
                </c:pt>
                <c:pt idx="1">
                  <c:v>9.4000000000000004E-3</c:v>
                </c:pt>
                <c:pt idx="2">
                  <c:v>1.8800000000000001E-2</c:v>
                </c:pt>
                <c:pt idx="3">
                  <c:v>2.8199999999999996E-2</c:v>
                </c:pt>
                <c:pt idx="4">
                  <c:v>3.7600000000000001E-2</c:v>
                </c:pt>
                <c:pt idx="5">
                  <c:v>4.7E-2</c:v>
                </c:pt>
                <c:pt idx="6">
                  <c:v>5.6399999999999992E-2</c:v>
                </c:pt>
                <c:pt idx="7">
                  <c:v>6.5799999999999997E-2</c:v>
                </c:pt>
                <c:pt idx="8">
                  <c:v>7.5200000000000003E-2</c:v>
                </c:pt>
                <c:pt idx="9">
                  <c:v>8.4599999999999995E-2</c:v>
                </c:pt>
                <c:pt idx="10">
                  <c:v>9.4E-2</c:v>
                </c:pt>
                <c:pt idx="11">
                  <c:v>0.10339999999999999</c:v>
                </c:pt>
                <c:pt idx="12">
                  <c:v>0.11279999999999998</c:v>
                </c:pt>
                <c:pt idx="13">
                  <c:v>0.1222</c:v>
                </c:pt>
                <c:pt idx="14">
                  <c:v>0.13159999999999999</c:v>
                </c:pt>
                <c:pt idx="15">
                  <c:v>0.14099999999999999</c:v>
                </c:pt>
                <c:pt idx="16">
                  <c:v>0.15040000000000001</c:v>
                </c:pt>
                <c:pt idx="17">
                  <c:v>0.1598</c:v>
                </c:pt>
                <c:pt idx="18">
                  <c:v>0.16919999999999999</c:v>
                </c:pt>
                <c:pt idx="19">
                  <c:v>0.17859999999999998</c:v>
                </c:pt>
                <c:pt idx="20">
                  <c:v>0.188</c:v>
                </c:pt>
                <c:pt idx="21">
                  <c:v>0.19739999999999999</c:v>
                </c:pt>
                <c:pt idx="22">
                  <c:v>0.20679999999999998</c:v>
                </c:pt>
                <c:pt idx="23">
                  <c:v>0.2162</c:v>
                </c:pt>
                <c:pt idx="24">
                  <c:v>0.22559999999999997</c:v>
                </c:pt>
                <c:pt idx="25">
                  <c:v>0.23499999999999999</c:v>
                </c:pt>
                <c:pt idx="26">
                  <c:v>0.24440000000000001</c:v>
                </c:pt>
                <c:pt idx="27">
                  <c:v>0.25380000000000003</c:v>
                </c:pt>
                <c:pt idx="28">
                  <c:v>0.26319999999999999</c:v>
                </c:pt>
                <c:pt idx="29">
                  <c:v>0.27259999999999995</c:v>
                </c:pt>
                <c:pt idx="30">
                  <c:v>0.28199999999999997</c:v>
                </c:pt>
                <c:pt idx="31">
                  <c:v>0.29139999999999999</c:v>
                </c:pt>
                <c:pt idx="32">
                  <c:v>0.30080000000000001</c:v>
                </c:pt>
                <c:pt idx="33">
                  <c:v>0.31000000000000005</c:v>
                </c:pt>
                <c:pt idx="34">
                  <c:v>0.31000000000000005</c:v>
                </c:pt>
                <c:pt idx="35">
                  <c:v>0.31000000000000005</c:v>
                </c:pt>
                <c:pt idx="36">
                  <c:v>0.31000000000000005</c:v>
                </c:pt>
                <c:pt idx="37">
                  <c:v>0.31000000000000005</c:v>
                </c:pt>
                <c:pt idx="38">
                  <c:v>0.31000000000000005</c:v>
                </c:pt>
                <c:pt idx="39">
                  <c:v>0.31000000000000005</c:v>
                </c:pt>
                <c:pt idx="40">
                  <c:v>0.31000000000000005</c:v>
                </c:pt>
                <c:pt idx="41">
                  <c:v>0.31000000000000005</c:v>
                </c:pt>
                <c:pt idx="42">
                  <c:v>0.31000000000000005</c:v>
                </c:pt>
                <c:pt idx="43">
                  <c:v>0.31000000000000005</c:v>
                </c:pt>
                <c:pt idx="44">
                  <c:v>0.31000000000000005</c:v>
                </c:pt>
                <c:pt idx="45">
                  <c:v>0.31000000000000005</c:v>
                </c:pt>
                <c:pt idx="46">
                  <c:v>0.31000000000000005</c:v>
                </c:pt>
                <c:pt idx="47">
                  <c:v>0.31000000000000005</c:v>
                </c:pt>
                <c:pt idx="48">
                  <c:v>0.31000000000000005</c:v>
                </c:pt>
                <c:pt idx="49">
                  <c:v>0.31000000000000005</c:v>
                </c:pt>
                <c:pt idx="50">
                  <c:v>0.31000000000000005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325-4F0D-9F25-6C44F7252E28}"/>
            </c:ext>
          </c:extLst>
        </c:ser>
        <c:ser>
          <c:idx val="8"/>
          <c:order val="7"/>
          <c:tx>
            <c:v>Regression Model 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15875">
                <a:solidFill>
                  <a:schemeClr val="tx1"/>
                </a:solidFill>
              </a:ln>
              <a:effectLst/>
            </c:spPr>
          </c:marker>
          <c:xVal>
            <c:numRef>
              <c:f>'6_Keff_Swirr'!$Y$40:$Y$90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xVal>
          <c:yVal>
            <c:numRef>
              <c:f>'6_Keff_Swirr'!$Z$40:$Z$90</c:f>
              <c:numCache>
                <c:formatCode>General</c:formatCode>
                <c:ptCount val="51"/>
                <c:pt idx="0">
                  <c:v>0</c:v>
                </c:pt>
                <c:pt idx="1">
                  <c:v>4.0000000000000001E-3</c:v>
                </c:pt>
                <c:pt idx="2">
                  <c:v>8.0000000000000002E-3</c:v>
                </c:pt>
                <c:pt idx="3">
                  <c:v>1.2E-2</c:v>
                </c:pt>
                <c:pt idx="4">
                  <c:v>1.6E-2</c:v>
                </c:pt>
                <c:pt idx="5">
                  <c:v>2.0000000000000004E-2</c:v>
                </c:pt>
                <c:pt idx="6">
                  <c:v>2.4E-2</c:v>
                </c:pt>
                <c:pt idx="7">
                  <c:v>2.8000000000000004E-2</c:v>
                </c:pt>
                <c:pt idx="8">
                  <c:v>3.2000000000000001E-2</c:v>
                </c:pt>
                <c:pt idx="9">
                  <c:v>3.5999999999999997E-2</c:v>
                </c:pt>
                <c:pt idx="10">
                  <c:v>4.0000000000000008E-2</c:v>
                </c:pt>
                <c:pt idx="11">
                  <c:v>4.4000000000000004E-2</c:v>
                </c:pt>
                <c:pt idx="12">
                  <c:v>4.8000000000000001E-2</c:v>
                </c:pt>
                <c:pt idx="13">
                  <c:v>5.2000000000000005E-2</c:v>
                </c:pt>
                <c:pt idx="14">
                  <c:v>5.6000000000000008E-2</c:v>
                </c:pt>
                <c:pt idx="15">
                  <c:v>0.06</c:v>
                </c:pt>
                <c:pt idx="16">
                  <c:v>6.4000000000000001E-2</c:v>
                </c:pt>
                <c:pt idx="17">
                  <c:v>6.8000000000000005E-2</c:v>
                </c:pt>
                <c:pt idx="18">
                  <c:v>7.1999999999999995E-2</c:v>
                </c:pt>
                <c:pt idx="19">
                  <c:v>7.6000000000000012E-2</c:v>
                </c:pt>
                <c:pt idx="20">
                  <c:v>8.0000000000000016E-2</c:v>
                </c:pt>
                <c:pt idx="21">
                  <c:v>8.4000000000000005E-2</c:v>
                </c:pt>
                <c:pt idx="22">
                  <c:v>8.4999999999999853E-2</c:v>
                </c:pt>
                <c:pt idx="23">
                  <c:v>8.4999999999999853E-2</c:v>
                </c:pt>
                <c:pt idx="24">
                  <c:v>8.4999999999999853E-2</c:v>
                </c:pt>
                <c:pt idx="25">
                  <c:v>8.4999999999999853E-2</c:v>
                </c:pt>
                <c:pt idx="26">
                  <c:v>8.4999999999999853E-2</c:v>
                </c:pt>
                <c:pt idx="27">
                  <c:v>8.4999999999999853E-2</c:v>
                </c:pt>
                <c:pt idx="28">
                  <c:v>8.4999999999999853E-2</c:v>
                </c:pt>
                <c:pt idx="29">
                  <c:v>8.4999999999999853E-2</c:v>
                </c:pt>
                <c:pt idx="30">
                  <c:v>8.4999999999999853E-2</c:v>
                </c:pt>
                <c:pt idx="31">
                  <c:v>8.4999999999999853E-2</c:v>
                </c:pt>
                <c:pt idx="32">
                  <c:v>8.4999999999999853E-2</c:v>
                </c:pt>
                <c:pt idx="33">
                  <c:v>8.4999999999999853E-2</c:v>
                </c:pt>
                <c:pt idx="34">
                  <c:v>8.4999999999999853E-2</c:v>
                </c:pt>
                <c:pt idx="35">
                  <c:v>8.4999999999999853E-2</c:v>
                </c:pt>
                <c:pt idx="36">
                  <c:v>8.4999999999999853E-2</c:v>
                </c:pt>
                <c:pt idx="37">
                  <c:v>8.4999999999999853E-2</c:v>
                </c:pt>
                <c:pt idx="38">
                  <c:v>8.4999999999999853E-2</c:v>
                </c:pt>
                <c:pt idx="39">
                  <c:v>8.4999999999999853E-2</c:v>
                </c:pt>
                <c:pt idx="40">
                  <c:v>8.4999999999999853E-2</c:v>
                </c:pt>
                <c:pt idx="41">
                  <c:v>8.4999999999999853E-2</c:v>
                </c:pt>
                <c:pt idx="42">
                  <c:v>8.4999999999999853E-2</c:v>
                </c:pt>
                <c:pt idx="43">
                  <c:v>8.4999999999999853E-2</c:v>
                </c:pt>
                <c:pt idx="44">
                  <c:v>8.4999999999999853E-2</c:v>
                </c:pt>
                <c:pt idx="45">
                  <c:v>8.4999999999999853E-2</c:v>
                </c:pt>
                <c:pt idx="46">
                  <c:v>8.4999999999999853E-2</c:v>
                </c:pt>
                <c:pt idx="47">
                  <c:v>8.4999999999999853E-2</c:v>
                </c:pt>
                <c:pt idx="48">
                  <c:v>8.4999999999999853E-2</c:v>
                </c:pt>
                <c:pt idx="49">
                  <c:v>8.4999999999999853E-2</c:v>
                </c:pt>
                <c:pt idx="50">
                  <c:v>8.4999999999999853E-2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325-4F0D-9F25-6C44F7252E28}"/>
            </c:ext>
          </c:extLst>
        </c:ser>
        <c:ser>
          <c:idx val="4"/>
          <c:order val="8"/>
          <c:tx>
            <c:v>Aissaoui Model - Clean Sand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4"/>
            <c:spPr>
              <a:noFill/>
              <a:ln w="22225">
                <a:solidFill>
                  <a:schemeClr val="tx1"/>
                </a:solidFill>
              </a:ln>
              <a:effectLst/>
            </c:spPr>
          </c:marker>
          <c:xVal>
            <c:numRef>
              <c:f>'6_Keff_Swirr'!$J$12:$J$15</c:f>
              <c:numCache>
                <c:formatCode>0.000</c:formatCode>
                <c:ptCount val="4"/>
                <c:pt idx="0">
                  <c:v>0.87454658640650174</c:v>
                </c:pt>
                <c:pt idx="1">
                  <c:v>0.85935203326513454</c:v>
                </c:pt>
                <c:pt idx="2">
                  <c:v>0.89649137205219531</c:v>
                </c:pt>
                <c:pt idx="3">
                  <c:v>0.8213579524873813</c:v>
                </c:pt>
              </c:numCache>
            </c:numRef>
          </c:xVal>
          <c:yVal>
            <c:numRef>
              <c:f>'6_Keff_Swirr'!$N$12:$N$15</c:f>
              <c:numCache>
                <c:formatCode>???0.0000\ \ \ \ </c:formatCode>
                <c:ptCount val="4"/>
                <c:pt idx="0">
                  <c:v>0.31000000000000005</c:v>
                </c:pt>
                <c:pt idx="1">
                  <c:v>0.31000000000000005</c:v>
                </c:pt>
                <c:pt idx="2">
                  <c:v>0.31000000000000005</c:v>
                </c:pt>
                <c:pt idx="3">
                  <c:v>0.31000000000000005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325-4F0D-9F25-6C44F7252E28}"/>
            </c:ext>
          </c:extLst>
        </c:ser>
        <c:ser>
          <c:idx val="5"/>
          <c:order val="9"/>
          <c:tx>
            <c:v>Aissaoui Model - Shaly Sand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4"/>
            <c:spPr>
              <a:noFill/>
              <a:ln w="22225">
                <a:solidFill>
                  <a:srgbClr val="FF0000"/>
                </a:solidFill>
              </a:ln>
              <a:effectLst/>
            </c:spPr>
          </c:marker>
          <c:xVal>
            <c:numRef>
              <c:f>('6_Keff_Swirr'!$J$11,'6_Keff_Swirr'!$J$16:$J$17)</c:f>
              <c:numCache>
                <c:formatCode>0.000</c:formatCode>
                <c:ptCount val="3"/>
                <c:pt idx="0">
                  <c:v>0.4964287205738569</c:v>
                </c:pt>
                <c:pt idx="1">
                  <c:v>0.52954890872320726</c:v>
                </c:pt>
                <c:pt idx="2">
                  <c:v>0.1597744073033418</c:v>
                </c:pt>
              </c:numCache>
            </c:numRef>
          </c:xVal>
          <c:yVal>
            <c:numRef>
              <c:f>('6_Keff_Swirr'!$N$11,'6_Keff_Swirr'!$N$16:$N$17)</c:f>
              <c:numCache>
                <c:formatCode>???0.0000\ \ \ \ </c:formatCode>
                <c:ptCount val="3"/>
                <c:pt idx="0">
                  <c:v>0.236598663452355</c:v>
                </c:pt>
                <c:pt idx="1">
                  <c:v>0.25238379417639617</c:v>
                </c:pt>
                <c:pt idx="2">
                  <c:v>3.1547650346654688E-2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1325-4F0D-9F25-6C44F7252E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4209592"/>
        <c:axId val="764209984"/>
      </c:scatterChart>
      <c:valAx>
        <c:axId val="76420959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Sgi (V/V)</a:t>
                </a:r>
              </a:p>
            </c:rich>
          </c:tx>
          <c:layout>
            <c:manualLayout>
              <c:xMode val="edge"/>
              <c:yMode val="edge"/>
              <c:x val="0.39327489839627766"/>
              <c:y val="0.8443419919898413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209984"/>
        <c:crosses val="autoZero"/>
        <c:crossBetween val="midCat"/>
      </c:valAx>
      <c:valAx>
        <c:axId val="7642099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Sgr (V/V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209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6"/>
        <c:delete val="1"/>
      </c:legendEntry>
      <c:legendEntry>
        <c:idx val="7"/>
        <c:delete val="1"/>
      </c:legendEntry>
      <c:legendEntry>
        <c:idx val="10"/>
        <c:delete val="1"/>
      </c:legendEntry>
      <c:layout>
        <c:manualLayout>
          <c:xMode val="edge"/>
          <c:yMode val="edge"/>
          <c:x val="0.11707921698800032"/>
          <c:y val="1.7909357483334398E-2"/>
          <c:w val="0.53352083658037641"/>
          <c:h val="0.368271118532863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2000"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685026442828303"/>
          <c:y val="5.0925925925925923E-2"/>
          <c:w val="0.79533038941287482"/>
          <c:h val="0.82977072114811934"/>
        </c:manualLayout>
      </c:layout>
      <c:scatterChart>
        <c:scatterStyle val="lineMarker"/>
        <c:varyColors val="0"/>
        <c:ser>
          <c:idx val="0"/>
          <c:order val="0"/>
          <c:tx>
            <c:v>Clean or Shaly Sands</c:v>
          </c:tx>
          <c:spPr>
            <a:ln w="28575" cap="rnd">
              <a:noFill/>
              <a:round/>
            </a:ln>
            <a:effectLst/>
          </c:spPr>
          <c:marker>
            <c:symbol val="x"/>
            <c:size val="8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'6_Keff_Swirr'!$G$40:$G$375</c:f>
              <c:numCache>
                <c:formatCode>0.0000</c:formatCode>
                <c:ptCount val="336"/>
                <c:pt idx="0">
                  <c:v>2.4179247779247699E-2</c:v>
                </c:pt>
                <c:pt idx="1">
                  <c:v>2.4179247779247699E-2</c:v>
                </c:pt>
                <c:pt idx="2">
                  <c:v>2.7969759969759901E-2</c:v>
                </c:pt>
                <c:pt idx="3">
                  <c:v>2.7969759969759901E-2</c:v>
                </c:pt>
                <c:pt idx="4">
                  <c:v>4.9629829629829599E-2</c:v>
                </c:pt>
                <c:pt idx="5">
                  <c:v>4.9449329049328999E-2</c:v>
                </c:pt>
                <c:pt idx="6">
                  <c:v>4.9449329049328999E-2</c:v>
                </c:pt>
                <c:pt idx="7">
                  <c:v>5.2758506358506298E-2</c:v>
                </c:pt>
                <c:pt idx="8">
                  <c:v>5.2698339498339498E-2</c:v>
                </c:pt>
                <c:pt idx="9">
                  <c:v>5.5080947160947101E-2</c:v>
                </c:pt>
                <c:pt idx="10">
                  <c:v>5.5225347625347601E-2</c:v>
                </c:pt>
                <c:pt idx="11">
                  <c:v>5.3059340659340599E-2</c:v>
                </c:pt>
                <c:pt idx="12">
                  <c:v>5.6826562452368903E-2</c:v>
                </c:pt>
                <c:pt idx="13">
                  <c:v>5.59473499473499E-2</c:v>
                </c:pt>
                <c:pt idx="14">
                  <c:v>5.7571855171855098E-2</c:v>
                </c:pt>
                <c:pt idx="15">
                  <c:v>5.8753313516949797E-2</c:v>
                </c:pt>
                <c:pt idx="16">
                  <c:v>5.6789685989685902E-2</c:v>
                </c:pt>
                <c:pt idx="17">
                  <c:v>5.8534524934524899E-2</c:v>
                </c:pt>
                <c:pt idx="18">
                  <c:v>5.85564037927674E-2</c:v>
                </c:pt>
                <c:pt idx="19">
                  <c:v>6.0640365040364998E-2</c:v>
                </c:pt>
                <c:pt idx="20">
                  <c:v>5.8293857493857501E-2</c:v>
                </c:pt>
                <c:pt idx="21">
                  <c:v>6.2435870814818099E-2</c:v>
                </c:pt>
                <c:pt idx="22">
                  <c:v>6.3870703015530494E-2</c:v>
                </c:pt>
                <c:pt idx="23">
                  <c:v>6.4276162447591004E-2</c:v>
                </c:pt>
                <c:pt idx="24">
                  <c:v>6.4142076302076301E-2</c:v>
                </c:pt>
                <c:pt idx="25">
                  <c:v>6.4912212112212098E-2</c:v>
                </c:pt>
                <c:pt idx="26">
                  <c:v>6.6751598980170399E-2</c:v>
                </c:pt>
                <c:pt idx="27">
                  <c:v>6.4701628101628106E-2</c:v>
                </c:pt>
                <c:pt idx="28">
                  <c:v>6.9378716672834295E-2</c:v>
                </c:pt>
                <c:pt idx="29">
                  <c:v>6.93043929043929E-2</c:v>
                </c:pt>
                <c:pt idx="30">
                  <c:v>6.93043929043929E-2</c:v>
                </c:pt>
                <c:pt idx="31">
                  <c:v>6.9777132519989599E-2</c:v>
                </c:pt>
                <c:pt idx="32">
                  <c:v>6.9983418897704597E-2</c:v>
                </c:pt>
                <c:pt idx="33">
                  <c:v>6.9637624745316998E-2</c:v>
                </c:pt>
                <c:pt idx="34">
                  <c:v>7.1109398709398697E-2</c:v>
                </c:pt>
                <c:pt idx="35">
                  <c:v>7.0206895806895805E-2</c:v>
                </c:pt>
                <c:pt idx="36">
                  <c:v>7.3144132525950603E-2</c:v>
                </c:pt>
                <c:pt idx="37">
                  <c:v>7.4091268299268306E-2</c:v>
                </c:pt>
                <c:pt idx="38">
                  <c:v>7.4587043227043195E-2</c:v>
                </c:pt>
                <c:pt idx="39">
                  <c:v>7.5381245781245707E-2</c:v>
                </c:pt>
                <c:pt idx="40">
                  <c:v>7.2914404514404493E-2</c:v>
                </c:pt>
                <c:pt idx="41">
                  <c:v>7.2914404514404493E-2</c:v>
                </c:pt>
                <c:pt idx="42">
                  <c:v>7.5315062235062194E-2</c:v>
                </c:pt>
                <c:pt idx="43">
                  <c:v>7.3275405675405594E-2</c:v>
                </c:pt>
                <c:pt idx="44">
                  <c:v>7.7607419607419598E-2</c:v>
                </c:pt>
                <c:pt idx="45">
                  <c:v>7.4899910899910896E-2</c:v>
                </c:pt>
                <c:pt idx="46">
                  <c:v>7.8257221697221699E-2</c:v>
                </c:pt>
                <c:pt idx="47">
                  <c:v>7.9412425412425394E-2</c:v>
                </c:pt>
                <c:pt idx="48">
                  <c:v>7.8406779321065004E-2</c:v>
                </c:pt>
                <c:pt idx="49">
                  <c:v>8.0694929537034693E-2</c:v>
                </c:pt>
                <c:pt idx="50">
                  <c:v>8.1558376758376697E-2</c:v>
                </c:pt>
                <c:pt idx="51">
                  <c:v>8.0856430056430006E-2</c:v>
                </c:pt>
                <c:pt idx="52">
                  <c:v>8.3373938152885504E-2</c:v>
                </c:pt>
                <c:pt idx="53">
                  <c:v>8.4176071167375494E-2</c:v>
                </c:pt>
                <c:pt idx="54">
                  <c:v>8.5682858621989003E-2</c:v>
                </c:pt>
                <c:pt idx="55">
                  <c:v>8.3022437022437001E-2</c:v>
                </c:pt>
                <c:pt idx="56">
                  <c:v>8.6271447471447396E-2</c:v>
                </c:pt>
                <c:pt idx="57">
                  <c:v>8.6552226152226103E-2</c:v>
                </c:pt>
                <c:pt idx="58">
                  <c:v>8.71247229429047E-2</c:v>
                </c:pt>
                <c:pt idx="59">
                  <c:v>8.6993449793449695E-2</c:v>
                </c:pt>
                <c:pt idx="60">
                  <c:v>8.7234117234117198E-2</c:v>
                </c:pt>
                <c:pt idx="61">
                  <c:v>8.8076453276453207E-2</c:v>
                </c:pt>
                <c:pt idx="62">
                  <c:v>8.6090946890946804E-2</c:v>
                </c:pt>
                <c:pt idx="63">
                  <c:v>8.7964714821857706E-2</c:v>
                </c:pt>
                <c:pt idx="64">
                  <c:v>8.8798455598455603E-2</c:v>
                </c:pt>
                <c:pt idx="65">
                  <c:v>8.98814590814591E-2</c:v>
                </c:pt>
                <c:pt idx="66">
                  <c:v>9.1024629424629397E-2</c:v>
                </c:pt>
                <c:pt idx="67">
                  <c:v>9.09644625644625E-2</c:v>
                </c:pt>
                <c:pt idx="68">
                  <c:v>9.1325463725463699E-2</c:v>
                </c:pt>
                <c:pt idx="69">
                  <c:v>9.1637237455419199E-2</c:v>
                </c:pt>
                <c:pt idx="70">
                  <c:v>9.2434253005681505E-2</c:v>
                </c:pt>
                <c:pt idx="71">
                  <c:v>9.2170966444650601E-2</c:v>
                </c:pt>
                <c:pt idx="72">
                  <c:v>9.2567732426555902E-2</c:v>
                </c:pt>
                <c:pt idx="73">
                  <c:v>9.1763822278108004E-2</c:v>
                </c:pt>
                <c:pt idx="74">
                  <c:v>9.3227662150738994E-2</c:v>
                </c:pt>
                <c:pt idx="75">
                  <c:v>9.3289734748558298E-2</c:v>
                </c:pt>
                <c:pt idx="76">
                  <c:v>9.3379732236875096E-2</c:v>
                </c:pt>
                <c:pt idx="77">
                  <c:v>9.2588967788967705E-2</c:v>
                </c:pt>
                <c:pt idx="78">
                  <c:v>9.2588967788967705E-2</c:v>
                </c:pt>
                <c:pt idx="79">
                  <c:v>9.4574474174474094E-2</c:v>
                </c:pt>
                <c:pt idx="80">
                  <c:v>9.5966907224050005E-2</c:v>
                </c:pt>
                <c:pt idx="81">
                  <c:v>9.6661060885060796E-2</c:v>
                </c:pt>
                <c:pt idx="82">
                  <c:v>9.71014823014823E-2</c:v>
                </c:pt>
                <c:pt idx="83">
                  <c:v>9.4935475335475306E-2</c:v>
                </c:pt>
                <c:pt idx="84">
                  <c:v>9.7900842015127706E-2</c:v>
                </c:pt>
                <c:pt idx="85">
                  <c:v>9.7768549664201801E-2</c:v>
                </c:pt>
                <c:pt idx="86">
                  <c:v>9.7591412448555306E-2</c:v>
                </c:pt>
                <c:pt idx="87">
                  <c:v>9.8405097605097594E-2</c:v>
                </c:pt>
                <c:pt idx="88">
                  <c:v>9.8485320085320002E-2</c:v>
                </c:pt>
                <c:pt idx="89">
                  <c:v>9.8364986364986307E-2</c:v>
                </c:pt>
                <c:pt idx="90">
                  <c:v>9.8906488106488097E-2</c:v>
                </c:pt>
                <c:pt idx="91">
                  <c:v>9.9123088803088802E-2</c:v>
                </c:pt>
                <c:pt idx="92">
                  <c:v>9.97105361468998E-2</c:v>
                </c:pt>
                <c:pt idx="93">
                  <c:v>0.10071149391149301</c:v>
                </c:pt>
                <c:pt idx="94">
                  <c:v>0.10071149391149301</c:v>
                </c:pt>
                <c:pt idx="95">
                  <c:v>0.10090918502347</c:v>
                </c:pt>
                <c:pt idx="96">
                  <c:v>0.10238757073042699</c:v>
                </c:pt>
                <c:pt idx="97">
                  <c:v>0.102697000297</c:v>
                </c:pt>
                <c:pt idx="98">
                  <c:v>0.103105088565958</c:v>
                </c:pt>
                <c:pt idx="99">
                  <c:v>0.100891994491994</c:v>
                </c:pt>
                <c:pt idx="100">
                  <c:v>0.103238502038502</c:v>
                </c:pt>
                <c:pt idx="101">
                  <c:v>0.10336743102457301</c:v>
                </c:pt>
                <c:pt idx="102">
                  <c:v>0.103516195239272</c:v>
                </c:pt>
                <c:pt idx="103">
                  <c:v>0.101914831114831</c:v>
                </c:pt>
                <c:pt idx="104">
                  <c:v>0.10453339750731</c:v>
                </c:pt>
                <c:pt idx="105">
                  <c:v>0.104654737362429</c:v>
                </c:pt>
                <c:pt idx="106">
                  <c:v>0.104895825550371</c:v>
                </c:pt>
                <c:pt idx="107">
                  <c:v>0.105776127846716</c:v>
                </c:pt>
                <c:pt idx="108">
                  <c:v>0.10594601074601</c:v>
                </c:pt>
                <c:pt idx="109">
                  <c:v>0.10823942988648801</c:v>
                </c:pt>
                <c:pt idx="110">
                  <c:v>0.108028709751786</c:v>
                </c:pt>
                <c:pt idx="111">
                  <c:v>0.108533185733185</c:v>
                </c:pt>
                <c:pt idx="112">
                  <c:v>0.108430548148195</c:v>
                </c:pt>
                <c:pt idx="113">
                  <c:v>0.107718198263652</c:v>
                </c:pt>
                <c:pt idx="114">
                  <c:v>0.10877385317385301</c:v>
                </c:pt>
                <c:pt idx="115">
                  <c:v>0.109689022783759</c:v>
                </c:pt>
                <c:pt idx="116">
                  <c:v>0.109917023517023</c:v>
                </c:pt>
                <c:pt idx="117">
                  <c:v>0.109375521775521</c:v>
                </c:pt>
                <c:pt idx="118">
                  <c:v>0.108761819801819</c:v>
                </c:pt>
                <c:pt idx="119">
                  <c:v>0.109984711234711</c:v>
                </c:pt>
                <c:pt idx="120">
                  <c:v>0.10955602235602201</c:v>
                </c:pt>
                <c:pt idx="121">
                  <c:v>0.11033819153819099</c:v>
                </c:pt>
                <c:pt idx="122">
                  <c:v>0.11045852525852499</c:v>
                </c:pt>
                <c:pt idx="123">
                  <c:v>0.111567314538743</c:v>
                </c:pt>
                <c:pt idx="124">
                  <c:v>0.112057244685816</c:v>
                </c:pt>
                <c:pt idx="125">
                  <c:v>0.111590756172574</c:v>
                </c:pt>
                <c:pt idx="126">
                  <c:v>0.113827869427869</c:v>
                </c:pt>
                <c:pt idx="127">
                  <c:v>0.113293446140504</c:v>
                </c:pt>
                <c:pt idx="128">
                  <c:v>0.113740353994899</c:v>
                </c:pt>
                <c:pt idx="129">
                  <c:v>0.115191651591651</c:v>
                </c:pt>
                <c:pt idx="130">
                  <c:v>0.11485070605070601</c:v>
                </c:pt>
                <c:pt idx="131">
                  <c:v>0.11488899405263001</c:v>
                </c:pt>
                <c:pt idx="132">
                  <c:v>0.116004815822997</c:v>
                </c:pt>
                <c:pt idx="133">
                  <c:v>0.115620841860841</c:v>
                </c:pt>
                <c:pt idx="134">
                  <c:v>0.115830566344852</c:v>
                </c:pt>
                <c:pt idx="135">
                  <c:v>0.116595544995545</c:v>
                </c:pt>
                <c:pt idx="136">
                  <c:v>0.116595544995545</c:v>
                </c:pt>
                <c:pt idx="137">
                  <c:v>0.11637894429894401</c:v>
                </c:pt>
                <c:pt idx="138">
                  <c:v>0.117389747549747</c:v>
                </c:pt>
                <c:pt idx="139">
                  <c:v>0.1182742003942</c:v>
                </c:pt>
                <c:pt idx="140">
                  <c:v>0.118039549639549</c:v>
                </c:pt>
                <c:pt idx="141">
                  <c:v>0.118039549639549</c:v>
                </c:pt>
                <c:pt idx="142">
                  <c:v>0.12069548675262901</c:v>
                </c:pt>
                <c:pt idx="143">
                  <c:v>0.12005084182226999</c:v>
                </c:pt>
                <c:pt idx="144">
                  <c:v>0.12092755892755799</c:v>
                </c:pt>
                <c:pt idx="145">
                  <c:v>0.12159798965513199</c:v>
                </c:pt>
                <c:pt idx="146">
                  <c:v>0.12128856008856</c:v>
                </c:pt>
                <c:pt idx="147">
                  <c:v>0.12210081270081199</c:v>
                </c:pt>
                <c:pt idx="148">
                  <c:v>0.122712509112509</c:v>
                </c:pt>
                <c:pt idx="149">
                  <c:v>0.12243173043173</c:v>
                </c:pt>
                <c:pt idx="150">
                  <c:v>0.121679644679644</c:v>
                </c:pt>
                <c:pt idx="151">
                  <c:v>0.123077156749884</c:v>
                </c:pt>
                <c:pt idx="152">
                  <c:v>0.12301620850192201</c:v>
                </c:pt>
                <c:pt idx="153">
                  <c:v>0.12522347274347201</c:v>
                </c:pt>
                <c:pt idx="154">
                  <c:v>0.126703577503577</c:v>
                </c:pt>
                <c:pt idx="155">
                  <c:v>0.12647150532864801</c:v>
                </c:pt>
                <c:pt idx="156">
                  <c:v>0.12689977378673001</c:v>
                </c:pt>
                <c:pt idx="157">
                  <c:v>0.12706457866457799</c:v>
                </c:pt>
                <c:pt idx="158">
                  <c:v>0.12860244361044301</c:v>
                </c:pt>
                <c:pt idx="159">
                  <c:v>0.12827828946449599</c:v>
                </c:pt>
                <c:pt idx="160">
                  <c:v>0.128053721845721</c:v>
                </c:pt>
                <c:pt idx="161">
                  <c:v>0.12865414829285701</c:v>
                </c:pt>
                <c:pt idx="162">
                  <c:v>0.129441169641169</c:v>
                </c:pt>
                <c:pt idx="163">
                  <c:v>0.13159609323819799</c:v>
                </c:pt>
                <c:pt idx="164">
                  <c:v>0.13211859491859401</c:v>
                </c:pt>
                <c:pt idx="165">
                  <c:v>0.13234156622391899</c:v>
                </c:pt>
                <c:pt idx="166">
                  <c:v>0.13314143154143099</c:v>
                </c:pt>
                <c:pt idx="167">
                  <c:v>0.13320828360828299</c:v>
                </c:pt>
                <c:pt idx="168">
                  <c:v>0.133097098065519</c:v>
                </c:pt>
                <c:pt idx="169">
                  <c:v>0.13361568796862899</c:v>
                </c:pt>
                <c:pt idx="170">
                  <c:v>0.13365645986445901</c:v>
                </c:pt>
                <c:pt idx="171">
                  <c:v>0.13420437940437899</c:v>
                </c:pt>
                <c:pt idx="172">
                  <c:v>0.13432070200070201</c:v>
                </c:pt>
                <c:pt idx="173">
                  <c:v>0.13408003456003401</c:v>
                </c:pt>
                <c:pt idx="174">
                  <c:v>0.133767166887166</c:v>
                </c:pt>
                <c:pt idx="175">
                  <c:v>0.13482610362610301</c:v>
                </c:pt>
                <c:pt idx="176">
                  <c:v>0.13525274136183199</c:v>
                </c:pt>
                <c:pt idx="177">
                  <c:v>0.136527966242251</c:v>
                </c:pt>
                <c:pt idx="178">
                  <c:v>0.13602944082943999</c:v>
                </c:pt>
                <c:pt idx="179">
                  <c:v>0.135909107109107</c:v>
                </c:pt>
                <c:pt idx="180">
                  <c:v>0.13825561465561401</c:v>
                </c:pt>
                <c:pt idx="181">
                  <c:v>0.138412048492048</c:v>
                </c:pt>
                <c:pt idx="182">
                  <c:v>0.13893514625279299</c:v>
                </c:pt>
                <c:pt idx="183">
                  <c:v>0.13884043653643599</c:v>
                </c:pt>
                <c:pt idx="184">
                  <c:v>0.138954073423638</c:v>
                </c:pt>
                <c:pt idx="185">
                  <c:v>0.139823119696803</c:v>
                </c:pt>
                <c:pt idx="186">
                  <c:v>0.140444184194184</c:v>
                </c:pt>
                <c:pt idx="187">
                  <c:v>0.14006062046062001</c:v>
                </c:pt>
                <c:pt idx="188">
                  <c:v>0.139293492993493</c:v>
                </c:pt>
                <c:pt idx="189">
                  <c:v>0.14086466850103199</c:v>
                </c:pt>
                <c:pt idx="190">
                  <c:v>0.140963123363123</c:v>
                </c:pt>
                <c:pt idx="191">
                  <c:v>0.142507406107406</c:v>
                </c:pt>
                <c:pt idx="192">
                  <c:v>0.14322330454504301</c:v>
                </c:pt>
                <c:pt idx="193">
                  <c:v>0.142046126846126</c:v>
                </c:pt>
                <c:pt idx="194">
                  <c:v>0.144919696087696</c:v>
                </c:pt>
                <c:pt idx="195">
                  <c:v>0.14248735048735001</c:v>
                </c:pt>
                <c:pt idx="196">
                  <c:v>0.14457313497313501</c:v>
                </c:pt>
                <c:pt idx="197">
                  <c:v>0.14553580473580399</c:v>
                </c:pt>
                <c:pt idx="198">
                  <c:v>0.146330007290007</c:v>
                </c:pt>
                <c:pt idx="199">
                  <c:v>0.14586070578070501</c:v>
                </c:pt>
                <c:pt idx="200">
                  <c:v>0.145803213003213</c:v>
                </c:pt>
                <c:pt idx="201">
                  <c:v>0.14683942003941999</c:v>
                </c:pt>
                <c:pt idx="202">
                  <c:v>0.14760554472554399</c:v>
                </c:pt>
                <c:pt idx="203">
                  <c:v>0.14748370683370601</c:v>
                </c:pt>
                <c:pt idx="204">
                  <c:v>0.14915784971784901</c:v>
                </c:pt>
                <c:pt idx="205">
                  <c:v>0.150663067602198</c:v>
                </c:pt>
                <c:pt idx="206">
                  <c:v>0.15004831924831899</c:v>
                </c:pt>
                <c:pt idx="207">
                  <c:v>0.15138506992420001</c:v>
                </c:pt>
                <c:pt idx="208">
                  <c:v>0.151251656451656</c:v>
                </c:pt>
                <c:pt idx="209">
                  <c:v>0.15162215764320999</c:v>
                </c:pt>
                <c:pt idx="210">
                  <c:v>0.151619877635877</c:v>
                </c:pt>
                <c:pt idx="211">
                  <c:v>0.152334659934659</c:v>
                </c:pt>
                <c:pt idx="212">
                  <c:v>0.15161265761265699</c:v>
                </c:pt>
                <c:pt idx="213">
                  <c:v>0.15262346086345999</c:v>
                </c:pt>
                <c:pt idx="214">
                  <c:v>0.15089065529065501</c:v>
                </c:pt>
                <c:pt idx="215">
                  <c:v>0.15453348518803001</c:v>
                </c:pt>
                <c:pt idx="216">
                  <c:v>0.15611313875313801</c:v>
                </c:pt>
                <c:pt idx="217">
                  <c:v>0.156353172858436</c:v>
                </c:pt>
                <c:pt idx="218">
                  <c:v>0.15720817560817499</c:v>
                </c:pt>
                <c:pt idx="219">
                  <c:v>0.15504216864216799</c:v>
                </c:pt>
                <c:pt idx="220">
                  <c:v>0.15731513891513799</c:v>
                </c:pt>
                <c:pt idx="221">
                  <c:v>0.156215422415422</c:v>
                </c:pt>
                <c:pt idx="222">
                  <c:v>0.157388676188676</c:v>
                </c:pt>
                <c:pt idx="223">
                  <c:v>0.15847167967167899</c:v>
                </c:pt>
                <c:pt idx="224">
                  <c:v>0.15851465600037001</c:v>
                </c:pt>
                <c:pt idx="225">
                  <c:v>0.15883268083268001</c:v>
                </c:pt>
                <c:pt idx="226">
                  <c:v>0.15946443286443199</c:v>
                </c:pt>
                <c:pt idx="227">
                  <c:v>0.15991568431568401</c:v>
                </c:pt>
                <c:pt idx="228">
                  <c:v>0.162045591165591</c:v>
                </c:pt>
                <c:pt idx="229">
                  <c:v>0.16244269244269199</c:v>
                </c:pt>
                <c:pt idx="230">
                  <c:v>0.16244269244269199</c:v>
                </c:pt>
                <c:pt idx="231">
                  <c:v>0.16327643321929</c:v>
                </c:pt>
                <c:pt idx="232">
                  <c:v>0.16259740722597801</c:v>
                </c:pt>
                <c:pt idx="233">
                  <c:v>0.162812288869431</c:v>
                </c:pt>
                <c:pt idx="234">
                  <c:v>0.16099868779868701</c:v>
                </c:pt>
                <c:pt idx="235">
                  <c:v>0.16352569592569499</c:v>
                </c:pt>
                <c:pt idx="236">
                  <c:v>0.16280369360369301</c:v>
                </c:pt>
                <c:pt idx="237">
                  <c:v>0.162081691281691</c:v>
                </c:pt>
                <c:pt idx="238">
                  <c:v>0.165698922914922</c:v>
                </c:pt>
                <c:pt idx="239">
                  <c:v>0.16641370521370499</c:v>
                </c:pt>
                <c:pt idx="240">
                  <c:v>0.16826036499882599</c:v>
                </c:pt>
                <c:pt idx="241">
                  <c:v>0.168807299868169</c:v>
                </c:pt>
                <c:pt idx="242">
                  <c:v>0.16863025234225201</c:v>
                </c:pt>
                <c:pt idx="243">
                  <c:v>0.16779754299754299</c:v>
                </c:pt>
                <c:pt idx="244">
                  <c:v>0.16862268850840201</c:v>
                </c:pt>
                <c:pt idx="245">
                  <c:v>0.169301714501714</c:v>
                </c:pt>
                <c:pt idx="246">
                  <c:v>0.171426067487605</c:v>
                </c:pt>
                <c:pt idx="247">
                  <c:v>0.171949056349056</c:v>
                </c:pt>
                <c:pt idx="248">
                  <c:v>0.172731225531225</c:v>
                </c:pt>
                <c:pt idx="249">
                  <c:v>0.173417127737127</c:v>
                </c:pt>
                <c:pt idx="250">
                  <c:v>0.17448069269607699</c:v>
                </c:pt>
                <c:pt idx="251">
                  <c:v>0.174995687359323</c:v>
                </c:pt>
                <c:pt idx="252">
                  <c:v>0.17291172611172601</c:v>
                </c:pt>
                <c:pt idx="253">
                  <c:v>0.17743993632689201</c:v>
                </c:pt>
                <c:pt idx="254">
                  <c:v>0.17753976099576099</c:v>
                </c:pt>
                <c:pt idx="255">
                  <c:v>0.178420603828603</c:v>
                </c:pt>
                <c:pt idx="256">
                  <c:v>0.176124636444636</c:v>
                </c:pt>
                <c:pt idx="257">
                  <c:v>0.179927182007182</c:v>
                </c:pt>
                <c:pt idx="258">
                  <c:v>0.180095649215649</c:v>
                </c:pt>
                <c:pt idx="259">
                  <c:v>0.18175625455625399</c:v>
                </c:pt>
                <c:pt idx="260">
                  <c:v>0.183521149121149</c:v>
                </c:pt>
                <c:pt idx="261">
                  <c:v>0.18396473224708501</c:v>
                </c:pt>
                <c:pt idx="262">
                  <c:v>0.18360137160137099</c:v>
                </c:pt>
                <c:pt idx="263">
                  <c:v>0.18472448632448599</c:v>
                </c:pt>
                <c:pt idx="264">
                  <c:v>0.186746564723035</c:v>
                </c:pt>
                <c:pt idx="265">
                  <c:v>0.18626876906876899</c:v>
                </c:pt>
                <c:pt idx="266">
                  <c:v>0.18843477603477601</c:v>
                </c:pt>
                <c:pt idx="267">
                  <c:v>0.18927711207711201</c:v>
                </c:pt>
                <c:pt idx="268">
                  <c:v>0.18951777951777901</c:v>
                </c:pt>
                <c:pt idx="269">
                  <c:v>0.189337278937278</c:v>
                </c:pt>
                <c:pt idx="270">
                  <c:v>0.18951777951777901</c:v>
                </c:pt>
                <c:pt idx="271">
                  <c:v>0.19065493317493301</c:v>
                </c:pt>
                <c:pt idx="272">
                  <c:v>0.19205428767534</c:v>
                </c:pt>
                <c:pt idx="273">
                  <c:v>0.190884426770141</c:v>
                </c:pt>
                <c:pt idx="274">
                  <c:v>0.192044787644787</c:v>
                </c:pt>
                <c:pt idx="275">
                  <c:v>0.194814537931779</c:v>
                </c:pt>
                <c:pt idx="276">
                  <c:v>0.19312779112779099</c:v>
                </c:pt>
                <c:pt idx="277">
                  <c:v>0.19511329751329701</c:v>
                </c:pt>
                <c:pt idx="278">
                  <c:v>0.19616742090341999</c:v>
                </c:pt>
                <c:pt idx="279">
                  <c:v>0.19637680157680101</c:v>
                </c:pt>
                <c:pt idx="280">
                  <c:v>0.19761907027789299</c:v>
                </c:pt>
                <c:pt idx="281">
                  <c:v>0.200558398358398</c:v>
                </c:pt>
                <c:pt idx="282">
                  <c:v>0.200468148068148</c:v>
                </c:pt>
                <c:pt idx="283">
                  <c:v>0.20019508308739001</c:v>
                </c:pt>
                <c:pt idx="284">
                  <c:v>0.20228623362536399</c:v>
                </c:pt>
                <c:pt idx="285">
                  <c:v>0.20380509469740199</c:v>
                </c:pt>
                <c:pt idx="286">
                  <c:v>0.20548916959239499</c:v>
                </c:pt>
                <c:pt idx="287">
                  <c:v>0.20592209698092001</c:v>
                </c:pt>
                <c:pt idx="288">
                  <c:v>0.20612383292383199</c:v>
                </c:pt>
                <c:pt idx="289">
                  <c:v>0.20588316548316499</c:v>
                </c:pt>
                <c:pt idx="290">
                  <c:v>0.20644318010471799</c:v>
                </c:pt>
                <c:pt idx="291">
                  <c:v>0.20974243979958199</c:v>
                </c:pt>
                <c:pt idx="292">
                  <c:v>0.20904794232794199</c:v>
                </c:pt>
                <c:pt idx="293">
                  <c:v>0.20937284337284301</c:v>
                </c:pt>
                <c:pt idx="294">
                  <c:v>0.20929262089261999</c:v>
                </c:pt>
                <c:pt idx="295">
                  <c:v>0.21117784917784899</c:v>
                </c:pt>
                <c:pt idx="296">
                  <c:v>0.21121796041796001</c:v>
                </c:pt>
                <c:pt idx="297">
                  <c:v>0.21174058628176201</c:v>
                </c:pt>
                <c:pt idx="298">
                  <c:v>0.20991434511434501</c:v>
                </c:pt>
                <c:pt idx="299">
                  <c:v>0.21117784917784899</c:v>
                </c:pt>
                <c:pt idx="300">
                  <c:v>0.214701534423273</c:v>
                </c:pt>
                <c:pt idx="301">
                  <c:v>0.21454719334719299</c:v>
                </c:pt>
                <c:pt idx="302">
                  <c:v>0.21594822166250699</c:v>
                </c:pt>
                <c:pt idx="303">
                  <c:v>0.21685541289177601</c:v>
                </c:pt>
                <c:pt idx="304">
                  <c:v>0.216602366623419</c:v>
                </c:pt>
                <c:pt idx="305">
                  <c:v>0.21496836136836101</c:v>
                </c:pt>
                <c:pt idx="306">
                  <c:v>0.217809283548414</c:v>
                </c:pt>
                <c:pt idx="307">
                  <c:v>0.217435202635202</c:v>
                </c:pt>
                <c:pt idx="308">
                  <c:v>0.21940655211243401</c:v>
                </c:pt>
                <c:pt idx="309">
                  <c:v>0.22092488052487999</c:v>
                </c:pt>
                <c:pt idx="310">
                  <c:v>0.221795992022079</c:v>
                </c:pt>
                <c:pt idx="311">
                  <c:v>0.22146638226638199</c:v>
                </c:pt>
                <c:pt idx="312">
                  <c:v>0.22344404080056199</c:v>
                </c:pt>
                <c:pt idx="313">
                  <c:v>0.22254938574938499</c:v>
                </c:pt>
                <c:pt idx="314">
                  <c:v>0.22323528795528699</c:v>
                </c:pt>
                <c:pt idx="315">
                  <c:v>0.222910386910386</c:v>
                </c:pt>
                <c:pt idx="316">
                  <c:v>0.22329262343379899</c:v>
                </c:pt>
                <c:pt idx="317">
                  <c:v>0.22435439155439099</c:v>
                </c:pt>
                <c:pt idx="318">
                  <c:v>0.22922790722790701</c:v>
                </c:pt>
                <c:pt idx="319">
                  <c:v>0.22892707292707201</c:v>
                </c:pt>
                <c:pt idx="320">
                  <c:v>0.22894712854712801</c:v>
                </c:pt>
                <c:pt idx="321">
                  <c:v>0.229552808272808</c:v>
                </c:pt>
                <c:pt idx="322">
                  <c:v>0.22994990954990899</c:v>
                </c:pt>
                <c:pt idx="323">
                  <c:v>0.23506409266409201</c:v>
                </c:pt>
                <c:pt idx="324">
                  <c:v>0.233018419418419</c:v>
                </c:pt>
                <c:pt idx="325">
                  <c:v>0.23420456609028001</c:v>
                </c:pt>
                <c:pt idx="326">
                  <c:v>0.23570426805626801</c:v>
                </c:pt>
                <c:pt idx="327">
                  <c:v>0.235684274145812</c:v>
                </c:pt>
                <c:pt idx="328">
                  <c:v>0.239877441477441</c:v>
                </c:pt>
                <c:pt idx="329">
                  <c:v>0.24077994437994399</c:v>
                </c:pt>
                <c:pt idx="330">
                  <c:v>0.241306404406404</c:v>
                </c:pt>
                <c:pt idx="331">
                  <c:v>0.24122299125935401</c:v>
                </c:pt>
                <c:pt idx="332">
                  <c:v>0.24511195831195801</c:v>
                </c:pt>
                <c:pt idx="333">
                  <c:v>0.24642961254961199</c:v>
                </c:pt>
                <c:pt idx="334">
                  <c:v>0.24779169769939</c:v>
                </c:pt>
                <c:pt idx="335">
                  <c:v>8.2432432432432395E-2</c:v>
                </c:pt>
              </c:numCache>
            </c:numRef>
          </c:xVal>
          <c:yVal>
            <c:numRef>
              <c:f>'6_Keff_Swirr'!$H$40:$H$375</c:f>
              <c:numCache>
                <c:formatCode>0.0000</c:formatCode>
                <c:ptCount val="336"/>
                <c:pt idx="0">
                  <c:v>0.91747238120952401</c:v>
                </c:pt>
                <c:pt idx="1">
                  <c:v>0.84801575783289995</c:v>
                </c:pt>
                <c:pt idx="2">
                  <c:v>0.91743628109342401</c:v>
                </c:pt>
                <c:pt idx="3">
                  <c:v>0.84797965771679995</c:v>
                </c:pt>
                <c:pt idx="4">
                  <c:v>0.81763107694472603</c:v>
                </c:pt>
                <c:pt idx="5">
                  <c:v>0.90767109224751996</c:v>
                </c:pt>
                <c:pt idx="6">
                  <c:v>0.86504018356622003</c:v>
                </c:pt>
                <c:pt idx="7">
                  <c:v>0.79911591997360298</c:v>
                </c:pt>
                <c:pt idx="8">
                  <c:v>0.72629841459698596</c:v>
                </c:pt>
                <c:pt idx="9">
                  <c:v>0.83350973018889996</c:v>
                </c:pt>
                <c:pt idx="10">
                  <c:v>0.90368847586776102</c:v>
                </c:pt>
                <c:pt idx="11">
                  <c:v>0.86758545886545801</c:v>
                </c:pt>
                <c:pt idx="12">
                  <c:v>0.11052499286477099</c:v>
                </c:pt>
                <c:pt idx="13">
                  <c:v>0.137849976278547</c:v>
                </c:pt>
                <c:pt idx="14">
                  <c:v>8.3524202759402699E-2</c:v>
                </c:pt>
                <c:pt idx="15">
                  <c:v>4.8158811774141302E-2</c:v>
                </c:pt>
                <c:pt idx="16">
                  <c:v>2.4561508761508699E-2</c:v>
                </c:pt>
                <c:pt idx="17">
                  <c:v>0.78582262962810601</c:v>
                </c:pt>
                <c:pt idx="18">
                  <c:v>0.73688850477006296</c:v>
                </c:pt>
                <c:pt idx="19">
                  <c:v>0.82691411905298695</c:v>
                </c:pt>
                <c:pt idx="20">
                  <c:v>0.903090782576496</c:v>
                </c:pt>
                <c:pt idx="21">
                  <c:v>0.124760781359447</c:v>
                </c:pt>
                <c:pt idx="22">
                  <c:v>7.3766677979045306E-2</c:v>
                </c:pt>
                <c:pt idx="23">
                  <c:v>3.4897092061826701E-2</c:v>
                </c:pt>
                <c:pt idx="24">
                  <c:v>0.76697734507508897</c:v>
                </c:pt>
                <c:pt idx="25">
                  <c:v>0.108675571949286</c:v>
                </c:pt>
                <c:pt idx="26">
                  <c:v>0.73261967863910904</c:v>
                </c:pt>
                <c:pt idx="27">
                  <c:v>0.82185116428073701</c:v>
                </c:pt>
                <c:pt idx="28">
                  <c:v>0.71426096154150898</c:v>
                </c:pt>
                <c:pt idx="29">
                  <c:v>0.93766255298755297</c:v>
                </c:pt>
                <c:pt idx="30">
                  <c:v>0.84758599454599404</c:v>
                </c:pt>
                <c:pt idx="31">
                  <c:v>4.0369509763537002E-2</c:v>
                </c:pt>
                <c:pt idx="32">
                  <c:v>0.768681243699607</c:v>
                </c:pt>
                <c:pt idx="33">
                  <c:v>0.12648021882874899</c:v>
                </c:pt>
                <c:pt idx="34">
                  <c:v>0.517598163940306</c:v>
                </c:pt>
                <c:pt idx="35">
                  <c:v>8.4149884623484605E-2</c:v>
                </c:pt>
                <c:pt idx="36">
                  <c:v>0.15590091009180801</c:v>
                </c:pt>
                <c:pt idx="37">
                  <c:v>0.72820324469952502</c:v>
                </c:pt>
                <c:pt idx="38">
                  <c:v>0.18190720391437201</c:v>
                </c:pt>
                <c:pt idx="39">
                  <c:v>0.69902604096621701</c:v>
                </c:pt>
                <c:pt idx="40">
                  <c:v>0.93747313481884897</c:v>
                </c:pt>
                <c:pt idx="41">
                  <c:v>0.84755161348304198</c:v>
                </c:pt>
                <c:pt idx="42">
                  <c:v>5.5338805252912703E-2</c:v>
                </c:pt>
                <c:pt idx="43">
                  <c:v>0.76734231266802699</c:v>
                </c:pt>
                <c:pt idx="44">
                  <c:v>0.68576628255493199</c:v>
                </c:pt>
                <c:pt idx="45">
                  <c:v>0.517448369946655</c:v>
                </c:pt>
                <c:pt idx="46">
                  <c:v>0.139870035632321</c:v>
                </c:pt>
                <c:pt idx="47">
                  <c:v>0.47788126745840998</c:v>
                </c:pt>
                <c:pt idx="48">
                  <c:v>0.18495170136387201</c:v>
                </c:pt>
                <c:pt idx="49">
                  <c:v>0.71016290319742004</c:v>
                </c:pt>
                <c:pt idx="50">
                  <c:v>6.5165423137994699E-2</c:v>
                </c:pt>
                <c:pt idx="51">
                  <c:v>3.8595715404286801E-2</c:v>
                </c:pt>
                <c:pt idx="52">
                  <c:v>0.69207919010268704</c:v>
                </c:pt>
                <c:pt idx="53">
                  <c:v>0.13764467043735901</c:v>
                </c:pt>
                <c:pt idx="54">
                  <c:v>0.652475872621194</c:v>
                </c:pt>
                <c:pt idx="55">
                  <c:v>0.47764017025445499</c:v>
                </c:pt>
                <c:pt idx="56">
                  <c:v>0.61039866497700201</c:v>
                </c:pt>
                <c:pt idx="57">
                  <c:v>9.0639330220432093E-2</c:v>
                </c:pt>
                <c:pt idx="58">
                  <c:v>5.6559354467433702E-2</c:v>
                </c:pt>
                <c:pt idx="59">
                  <c:v>0.18799840793930001</c:v>
                </c:pt>
                <c:pt idx="60">
                  <c:v>0.160979255093466</c:v>
                </c:pt>
                <c:pt idx="61">
                  <c:v>0.43044375399158302</c:v>
                </c:pt>
                <c:pt idx="62">
                  <c:v>0.413818345237773</c:v>
                </c:pt>
                <c:pt idx="63">
                  <c:v>0.70039855133442996</c:v>
                </c:pt>
                <c:pt idx="64">
                  <c:v>0.78781440916226597</c:v>
                </c:pt>
                <c:pt idx="65">
                  <c:v>0.13393715209225401</c:v>
                </c:pt>
                <c:pt idx="66">
                  <c:v>0.65890562544394304</c:v>
                </c:pt>
                <c:pt idx="67">
                  <c:v>0.63216640485192899</c:v>
                </c:pt>
                <c:pt idx="68">
                  <c:v>0.48603645559074099</c:v>
                </c:pt>
                <c:pt idx="69">
                  <c:v>0.61429414024575402</c:v>
                </c:pt>
                <c:pt idx="70">
                  <c:v>9.7939683215321802E-2</c:v>
                </c:pt>
                <c:pt idx="71">
                  <c:v>3.51161273460689E-2</c:v>
                </c:pt>
                <c:pt idx="72">
                  <c:v>6.9825143360322403E-2</c:v>
                </c:pt>
                <c:pt idx="73">
                  <c:v>0.18697841310958699</c:v>
                </c:pt>
                <c:pt idx="74">
                  <c:v>0.15813546802947601</c:v>
                </c:pt>
                <c:pt idx="75">
                  <c:v>0.22043268245936501</c:v>
                </c:pt>
                <c:pt idx="76">
                  <c:v>0.41806162380324402</c:v>
                </c:pt>
                <c:pt idx="77">
                  <c:v>0.69758362709546295</c:v>
                </c:pt>
                <c:pt idx="78">
                  <c:v>0.78766461516861497</c:v>
                </c:pt>
                <c:pt idx="79">
                  <c:v>0.387401913376199</c:v>
                </c:pt>
                <c:pt idx="80">
                  <c:v>5.6963728705932803E-2</c:v>
                </c:pt>
                <c:pt idx="81">
                  <c:v>0.64165564142992704</c:v>
                </c:pt>
                <c:pt idx="82">
                  <c:v>0.52236348670634303</c:v>
                </c:pt>
                <c:pt idx="83">
                  <c:v>0.48620879066879003</c:v>
                </c:pt>
                <c:pt idx="84">
                  <c:v>0.61327357001961003</c:v>
                </c:pt>
                <c:pt idx="85">
                  <c:v>0.318928852475657</c:v>
                </c:pt>
                <c:pt idx="86">
                  <c:v>0.29229781809239502</c:v>
                </c:pt>
                <c:pt idx="87">
                  <c:v>0.26149673860759498</c:v>
                </c:pt>
                <c:pt idx="88">
                  <c:v>8.7328261725404602E-2</c:v>
                </c:pt>
                <c:pt idx="89">
                  <c:v>0.15771569007715899</c:v>
                </c:pt>
                <c:pt idx="90">
                  <c:v>0.22707635095002399</c:v>
                </c:pt>
                <c:pt idx="91">
                  <c:v>0.204013904419203</c:v>
                </c:pt>
                <c:pt idx="92">
                  <c:v>0.41238843019962201</c:v>
                </c:pt>
                <c:pt idx="93">
                  <c:v>0.37717219621515702</c:v>
                </c:pt>
                <c:pt idx="94">
                  <c:v>0.12018740548381</c:v>
                </c:pt>
                <c:pt idx="95">
                  <c:v>5.4244448801781302E-2</c:v>
                </c:pt>
                <c:pt idx="96">
                  <c:v>0.354687680510333</c:v>
                </c:pt>
                <c:pt idx="97">
                  <c:v>2.8684772339629499E-2</c:v>
                </c:pt>
                <c:pt idx="98">
                  <c:v>0.62954818968220905</c:v>
                </c:pt>
                <c:pt idx="99">
                  <c:v>0.52232738659024303</c:v>
                </c:pt>
                <c:pt idx="100">
                  <c:v>0.45615587377873001</c:v>
                </c:pt>
                <c:pt idx="101">
                  <c:v>0.611132689880445</c:v>
                </c:pt>
                <c:pt idx="102">
                  <c:v>0.31466988912711502</c:v>
                </c:pt>
                <c:pt idx="103">
                  <c:v>0.255252640960069</c:v>
                </c:pt>
                <c:pt idx="104">
                  <c:v>0.14928515597997899</c:v>
                </c:pt>
                <c:pt idx="105">
                  <c:v>0.20804465454469601</c:v>
                </c:pt>
                <c:pt idx="106">
                  <c:v>9.6561395876832407E-2</c:v>
                </c:pt>
                <c:pt idx="107">
                  <c:v>0.29245986072666502</c:v>
                </c:pt>
                <c:pt idx="108">
                  <c:v>0.39913726756303902</c:v>
                </c:pt>
                <c:pt idx="109">
                  <c:v>0.36516503340946999</c:v>
                </c:pt>
                <c:pt idx="110">
                  <c:v>0.33501201367100703</c:v>
                </c:pt>
                <c:pt idx="111">
                  <c:v>0.18006675601274399</c:v>
                </c:pt>
                <c:pt idx="112">
                  <c:v>0.121853090447718</c:v>
                </c:pt>
                <c:pt idx="113">
                  <c:v>3.7598854468301898E-2</c:v>
                </c:pt>
                <c:pt idx="114">
                  <c:v>0.63480827568239795</c:v>
                </c:pt>
                <c:pt idx="115">
                  <c:v>0.467975178456982</c:v>
                </c:pt>
                <c:pt idx="116">
                  <c:v>0.60256005090030995</c:v>
                </c:pt>
                <c:pt idx="117">
                  <c:v>0.54710420704777796</c:v>
                </c:pt>
                <c:pt idx="118">
                  <c:v>0.48049577539063199</c:v>
                </c:pt>
                <c:pt idx="119">
                  <c:v>0.31562966187545599</c:v>
                </c:pt>
                <c:pt idx="120">
                  <c:v>8.3193304606590093E-2</c:v>
                </c:pt>
                <c:pt idx="121">
                  <c:v>0.234688583587466</c:v>
                </c:pt>
                <c:pt idx="122">
                  <c:v>0.42569983892555302</c:v>
                </c:pt>
                <c:pt idx="123">
                  <c:v>0.14727194922819301</c:v>
                </c:pt>
                <c:pt idx="124">
                  <c:v>9.7006021603356293E-2</c:v>
                </c:pt>
                <c:pt idx="125">
                  <c:v>0.27460077921668002</c:v>
                </c:pt>
                <c:pt idx="126">
                  <c:v>0.39242475647423303</c:v>
                </c:pt>
                <c:pt idx="127">
                  <c:v>0.35363817516949803</c:v>
                </c:pt>
                <c:pt idx="128">
                  <c:v>0.18872170794854501</c:v>
                </c:pt>
                <c:pt idx="129">
                  <c:v>0.60631999553105298</c:v>
                </c:pt>
                <c:pt idx="130">
                  <c:v>0.54518178135325601</c:v>
                </c:pt>
                <c:pt idx="131">
                  <c:v>0.47690445457666197</c:v>
                </c:pt>
                <c:pt idx="132">
                  <c:v>0.33107805159008802</c:v>
                </c:pt>
                <c:pt idx="133">
                  <c:v>0.29726472563553302</c:v>
                </c:pt>
                <c:pt idx="134">
                  <c:v>0.23609817409094999</c:v>
                </c:pt>
                <c:pt idx="135">
                  <c:v>0.151953274904506</c:v>
                </c:pt>
                <c:pt idx="136">
                  <c:v>0.12375913962512899</c:v>
                </c:pt>
                <c:pt idx="137">
                  <c:v>9.38924897869515E-2</c:v>
                </c:pt>
                <c:pt idx="138">
                  <c:v>0.271035925070015</c:v>
                </c:pt>
                <c:pt idx="139">
                  <c:v>6.3292015629438994E-2</c:v>
                </c:pt>
                <c:pt idx="140">
                  <c:v>0.40591354091728798</c:v>
                </c:pt>
                <c:pt idx="141">
                  <c:v>0.368368083578338</c:v>
                </c:pt>
                <c:pt idx="142">
                  <c:v>0.18390092585721701</c:v>
                </c:pt>
                <c:pt idx="143">
                  <c:v>0.54633867852421703</c:v>
                </c:pt>
                <c:pt idx="144">
                  <c:v>0.50311868671868598</c:v>
                </c:pt>
                <c:pt idx="145">
                  <c:v>0.33607272239792302</c:v>
                </c:pt>
                <c:pt idx="146">
                  <c:v>0.29936836160144298</c:v>
                </c:pt>
                <c:pt idx="147">
                  <c:v>0.211421641731382</c:v>
                </c:pt>
                <c:pt idx="148">
                  <c:v>0.14293783612382499</c:v>
                </c:pt>
                <c:pt idx="149">
                  <c:v>0.10889370205745701</c:v>
                </c:pt>
                <c:pt idx="150">
                  <c:v>8.4465426788324804E-2</c:v>
                </c:pt>
                <c:pt idx="151">
                  <c:v>0.27116885355230402</c:v>
                </c:pt>
                <c:pt idx="152">
                  <c:v>5.9663141491712902E-2</c:v>
                </c:pt>
                <c:pt idx="153">
                  <c:v>0.19684611234444099</c:v>
                </c:pt>
                <c:pt idx="154">
                  <c:v>0.55507804949149997</c:v>
                </c:pt>
                <c:pt idx="155">
                  <c:v>0.53682296117561401</c:v>
                </c:pt>
                <c:pt idx="156">
                  <c:v>0.34371807665418902</c:v>
                </c:pt>
                <c:pt idx="157">
                  <c:v>0.307965220905554</c:v>
                </c:pt>
                <c:pt idx="158">
                  <c:v>0.38788620703823001</c:v>
                </c:pt>
                <c:pt idx="159">
                  <c:v>0.15614709646392999</c:v>
                </c:pt>
                <c:pt idx="160">
                  <c:v>0.11046714972659399</c:v>
                </c:pt>
                <c:pt idx="161">
                  <c:v>0.26780261502935399</c:v>
                </c:pt>
                <c:pt idx="162">
                  <c:v>0.222917480434497</c:v>
                </c:pt>
                <c:pt idx="163">
                  <c:v>0.51276184072483899</c:v>
                </c:pt>
                <c:pt idx="164">
                  <c:v>0.63779102935674303</c:v>
                </c:pt>
                <c:pt idx="165">
                  <c:v>0.55161009350763701</c:v>
                </c:pt>
                <c:pt idx="166">
                  <c:v>0.52989912692665897</c:v>
                </c:pt>
                <c:pt idx="167">
                  <c:v>0.35174530075515598</c:v>
                </c:pt>
                <c:pt idx="168">
                  <c:v>0.30377706414821198</c:v>
                </c:pt>
                <c:pt idx="169">
                  <c:v>0.20557118950015901</c:v>
                </c:pt>
                <c:pt idx="170">
                  <c:v>0.43125675108035899</c:v>
                </c:pt>
                <c:pt idx="171">
                  <c:v>0.39376386939848101</c:v>
                </c:pt>
                <c:pt idx="172">
                  <c:v>0.36442644143809799</c:v>
                </c:pt>
                <c:pt idx="173">
                  <c:v>0.156895175988189</c:v>
                </c:pt>
                <c:pt idx="174">
                  <c:v>0.26280204877027702</c:v>
                </c:pt>
                <c:pt idx="175">
                  <c:v>0.13850330618953999</c:v>
                </c:pt>
                <c:pt idx="176">
                  <c:v>0.23883108100735301</c:v>
                </c:pt>
                <c:pt idx="177">
                  <c:v>0.45583514949079101</c:v>
                </c:pt>
                <c:pt idx="178">
                  <c:v>0.51642107308787</c:v>
                </c:pt>
                <c:pt idx="179">
                  <c:v>0.63703831328517002</c:v>
                </c:pt>
                <c:pt idx="180">
                  <c:v>0.61204810103024299</c:v>
                </c:pt>
                <c:pt idx="181">
                  <c:v>0.545565617439152</c:v>
                </c:pt>
                <c:pt idx="182">
                  <c:v>0.33171214005889599</c:v>
                </c:pt>
                <c:pt idx="183">
                  <c:v>0.21068178691344999</c:v>
                </c:pt>
                <c:pt idx="184">
                  <c:v>0.42443929256854002</c:v>
                </c:pt>
                <c:pt idx="185">
                  <c:v>0.37442515583924901</c:v>
                </c:pt>
                <c:pt idx="186">
                  <c:v>0.186067917704067</c:v>
                </c:pt>
                <c:pt idx="187">
                  <c:v>0.27501709653351197</c:v>
                </c:pt>
                <c:pt idx="188">
                  <c:v>0.154051223365713</c:v>
                </c:pt>
                <c:pt idx="189">
                  <c:v>0.23598503812968</c:v>
                </c:pt>
                <c:pt idx="190">
                  <c:v>0.45921490429702699</c:v>
                </c:pt>
                <c:pt idx="191">
                  <c:v>0.40340767023967</c:v>
                </c:pt>
                <c:pt idx="192">
                  <c:v>0.52465225980057995</c:v>
                </c:pt>
                <c:pt idx="193">
                  <c:v>0.61206367994939403</c:v>
                </c:pt>
                <c:pt idx="194">
                  <c:v>0.34863346284286001</c:v>
                </c:pt>
                <c:pt idx="195">
                  <c:v>0.31907185180047498</c:v>
                </c:pt>
                <c:pt idx="196">
                  <c:v>0.54339720911961698</c:v>
                </c:pt>
                <c:pt idx="197">
                  <c:v>0.42889244864409798</c:v>
                </c:pt>
                <c:pt idx="198">
                  <c:v>0.37755433843068098</c:v>
                </c:pt>
                <c:pt idx="199">
                  <c:v>0.195608199589489</c:v>
                </c:pt>
                <c:pt idx="200">
                  <c:v>0.27776748056810302</c:v>
                </c:pt>
                <c:pt idx="201">
                  <c:v>0.23866232825971501</c:v>
                </c:pt>
                <c:pt idx="202">
                  <c:v>0.49309228193868498</c:v>
                </c:pt>
                <c:pt idx="203">
                  <c:v>0.175191270239413</c:v>
                </c:pt>
                <c:pt idx="204">
                  <c:v>0.40251093262303</c:v>
                </c:pt>
                <c:pt idx="205">
                  <c:v>0.330288885330976</c:v>
                </c:pt>
                <c:pt idx="206">
                  <c:v>0.29448734513222802</c:v>
                </c:pt>
                <c:pt idx="207">
                  <c:v>0.43516641086071101</c:v>
                </c:pt>
                <c:pt idx="208">
                  <c:v>0.60618795629081301</c:v>
                </c:pt>
                <c:pt idx="209">
                  <c:v>0.361185908032223</c:v>
                </c:pt>
                <c:pt idx="210">
                  <c:v>0.199407811668458</c:v>
                </c:pt>
                <c:pt idx="211">
                  <c:v>0.271704035292892</c:v>
                </c:pt>
                <c:pt idx="212">
                  <c:v>0.24421000018551001</c:v>
                </c:pt>
                <c:pt idx="213">
                  <c:v>0.49167206775366701</c:v>
                </c:pt>
                <c:pt idx="214">
                  <c:v>0.164852433358147</c:v>
                </c:pt>
                <c:pt idx="215">
                  <c:v>0.395707140988179</c:v>
                </c:pt>
                <c:pt idx="216">
                  <c:v>0.31206299692027001</c:v>
                </c:pt>
                <c:pt idx="217">
                  <c:v>0.454464215865229</c:v>
                </c:pt>
                <c:pt idx="218">
                  <c:v>0.43028469692469601</c:v>
                </c:pt>
                <c:pt idx="219">
                  <c:v>0.60615185617471301</c:v>
                </c:pt>
                <c:pt idx="220">
                  <c:v>0.36163691525790198</c:v>
                </c:pt>
                <c:pt idx="221">
                  <c:v>0.212044189666072</c:v>
                </c:pt>
                <c:pt idx="222">
                  <c:v>0.141483302546873</c:v>
                </c:pt>
                <c:pt idx="223">
                  <c:v>0.63955552997195797</c:v>
                </c:pt>
                <c:pt idx="224">
                  <c:v>0.24904191484372701</c:v>
                </c:pt>
                <c:pt idx="225">
                  <c:v>0.49566573179716</c:v>
                </c:pt>
                <c:pt idx="226">
                  <c:v>0.28899093709324303</c:v>
                </c:pt>
                <c:pt idx="227">
                  <c:v>0.40517735268592397</c:v>
                </c:pt>
                <c:pt idx="228">
                  <c:v>0.31916430818743302</c:v>
                </c:pt>
                <c:pt idx="229">
                  <c:v>0.45300667176011999</c:v>
                </c:pt>
                <c:pt idx="230">
                  <c:v>0.425948778286247</c:v>
                </c:pt>
                <c:pt idx="231">
                  <c:v>0.37471935456490502</c:v>
                </c:pt>
                <c:pt idx="232">
                  <c:v>0.347980034042074</c:v>
                </c:pt>
                <c:pt idx="233">
                  <c:v>0.225979059661264</c:v>
                </c:pt>
                <c:pt idx="234">
                  <c:v>0.14160395858967201</c:v>
                </c:pt>
                <c:pt idx="235">
                  <c:v>0.64431354676211805</c:v>
                </c:pt>
                <c:pt idx="236">
                  <c:v>0.50354673095244495</c:v>
                </c:pt>
                <c:pt idx="237">
                  <c:v>0.248603699929414</c:v>
                </c:pt>
                <c:pt idx="238">
                  <c:v>0.28894714912464697</c:v>
                </c:pt>
                <c:pt idx="239">
                  <c:v>0.406322951532747</c:v>
                </c:pt>
                <c:pt idx="240">
                  <c:v>0.43017472955852398</c:v>
                </c:pt>
                <c:pt idx="241">
                  <c:v>0.31094973248673302</c:v>
                </c:pt>
                <c:pt idx="242">
                  <c:v>0.36106926052480298</c:v>
                </c:pt>
                <c:pt idx="243">
                  <c:v>0.331021347352775</c:v>
                </c:pt>
                <c:pt idx="244">
                  <c:v>0.22434135787774301</c:v>
                </c:pt>
                <c:pt idx="245">
                  <c:v>0.60188172815601304</c:v>
                </c:pt>
                <c:pt idx="246">
                  <c:v>0.25178339538487698</c:v>
                </c:pt>
                <c:pt idx="247">
                  <c:v>0.39208062212690697</c:v>
                </c:pt>
                <c:pt idx="248">
                  <c:v>0.28608210960199398</c:v>
                </c:pt>
                <c:pt idx="249">
                  <c:v>0.42286861760324601</c:v>
                </c:pt>
                <c:pt idx="250">
                  <c:v>0.34592257171538698</c:v>
                </c:pt>
                <c:pt idx="251">
                  <c:v>0.31756347700877502</c:v>
                </c:pt>
                <c:pt idx="252">
                  <c:v>0.60184734709306098</c:v>
                </c:pt>
                <c:pt idx="253">
                  <c:v>0.238616544262854</c:v>
                </c:pt>
                <c:pt idx="254">
                  <c:v>0.378417539958111</c:v>
                </c:pt>
                <c:pt idx="255">
                  <c:v>0.290962002163484</c:v>
                </c:pt>
                <c:pt idx="256">
                  <c:v>0.269086023357337</c:v>
                </c:pt>
                <c:pt idx="257">
                  <c:v>0.40619225457617097</c:v>
                </c:pt>
                <c:pt idx="258">
                  <c:v>0.33970420521563299</c:v>
                </c:pt>
                <c:pt idx="259">
                  <c:v>0.226366601429458</c:v>
                </c:pt>
                <c:pt idx="260">
                  <c:v>0.383423771991935</c:v>
                </c:pt>
                <c:pt idx="261">
                  <c:v>0.29775058981115499</c:v>
                </c:pt>
                <c:pt idx="262">
                  <c:v>0.271462365753386</c:v>
                </c:pt>
                <c:pt idx="263">
                  <c:v>0.33281638116116702</c:v>
                </c:pt>
                <c:pt idx="264">
                  <c:v>0.35630296103606102</c:v>
                </c:pt>
                <c:pt idx="265">
                  <c:v>0.424992572213024</c:v>
                </c:pt>
                <c:pt idx="266">
                  <c:v>0.51818618755761603</c:v>
                </c:pt>
                <c:pt idx="267">
                  <c:v>0.39155871225800698</c:v>
                </c:pt>
                <c:pt idx="268">
                  <c:v>0.47393345116080798</c:v>
                </c:pt>
                <c:pt idx="269">
                  <c:v>0.28359611548297198</c:v>
                </c:pt>
                <c:pt idx="270">
                  <c:v>0.21848444972717601</c:v>
                </c:pt>
                <c:pt idx="271">
                  <c:v>0.31774928251783302</c:v>
                </c:pt>
                <c:pt idx="272">
                  <c:v>0.345181295039102</c:v>
                </c:pt>
                <c:pt idx="273">
                  <c:v>0.422891184989937</c:v>
                </c:pt>
                <c:pt idx="274">
                  <c:v>0.51815180649466297</c:v>
                </c:pt>
                <c:pt idx="275">
                  <c:v>0.38640848258293897</c:v>
                </c:pt>
                <c:pt idx="276">
                  <c:v>0.47431767028338401</c:v>
                </c:pt>
                <c:pt idx="277">
                  <c:v>0.225743272758129</c:v>
                </c:pt>
                <c:pt idx="278">
                  <c:v>0.30685203654472698</c:v>
                </c:pt>
                <c:pt idx="279">
                  <c:v>0.25962062806884201</c:v>
                </c:pt>
                <c:pt idx="280">
                  <c:v>0.34856600484749301</c:v>
                </c:pt>
                <c:pt idx="281">
                  <c:v>0.28188856934554501</c:v>
                </c:pt>
                <c:pt idx="282">
                  <c:v>0.396162502456543</c:v>
                </c:pt>
                <c:pt idx="283">
                  <c:v>0.372306279571334</c:v>
                </c:pt>
                <c:pt idx="284">
                  <c:v>0.32440258802335797</c:v>
                </c:pt>
                <c:pt idx="285">
                  <c:v>0.34197954925694801</c:v>
                </c:pt>
                <c:pt idx="286">
                  <c:v>0.25175092688834899</c:v>
                </c:pt>
                <c:pt idx="287">
                  <c:v>0.29348776735246801</c:v>
                </c:pt>
                <c:pt idx="288">
                  <c:v>0.57336596710239496</c:v>
                </c:pt>
                <c:pt idx="289">
                  <c:v>0.38553547167936703</c:v>
                </c:pt>
                <c:pt idx="290">
                  <c:v>0.36628030185199401</c:v>
                </c:pt>
                <c:pt idx="291">
                  <c:v>0.34495672618764001</c:v>
                </c:pt>
                <c:pt idx="292">
                  <c:v>0.31213266757279201</c:v>
                </c:pt>
                <c:pt idx="293">
                  <c:v>0.48573905939620199</c:v>
                </c:pt>
                <c:pt idx="294">
                  <c:v>0.207867392993107</c:v>
                </c:pt>
                <c:pt idx="295">
                  <c:v>0.43362940133225802</c:v>
                </c:pt>
                <c:pt idx="296">
                  <c:v>0.25427273361728198</c:v>
                </c:pt>
                <c:pt idx="297">
                  <c:v>0.28185651652030502</c:v>
                </c:pt>
                <c:pt idx="298">
                  <c:v>0.57338154602154501</c:v>
                </c:pt>
                <c:pt idx="299">
                  <c:v>0.37362429929144197</c:v>
                </c:pt>
                <c:pt idx="300">
                  <c:v>0.323771451362805</c:v>
                </c:pt>
                <c:pt idx="301">
                  <c:v>0.48376042922328599</c:v>
                </c:pt>
                <c:pt idx="302">
                  <c:v>0.20520934588492201</c:v>
                </c:pt>
                <c:pt idx="303">
                  <c:v>0.36480348726878598</c:v>
                </c:pt>
                <c:pt idx="304">
                  <c:v>0.170133941620847</c:v>
                </c:pt>
                <c:pt idx="305">
                  <c:v>0.43359330121615802</c:v>
                </c:pt>
                <c:pt idx="306">
                  <c:v>0.30398568906624701</c:v>
                </c:pt>
                <c:pt idx="307">
                  <c:v>0.26079460399015297</c:v>
                </c:pt>
                <c:pt idx="308">
                  <c:v>0.226604371913181</c:v>
                </c:pt>
                <c:pt idx="309">
                  <c:v>0.479840988046702</c:v>
                </c:pt>
                <c:pt idx="310">
                  <c:v>0.36941181068312801</c:v>
                </c:pt>
                <c:pt idx="311">
                  <c:v>0.172475816771505</c:v>
                </c:pt>
                <c:pt idx="312">
                  <c:v>0.31608898932142898</c:v>
                </c:pt>
                <c:pt idx="313">
                  <c:v>0.27020103159138398</c:v>
                </c:pt>
                <c:pt idx="314">
                  <c:v>0.35345000526998399</c:v>
                </c:pt>
                <c:pt idx="315">
                  <c:v>0.297926908281609</c:v>
                </c:pt>
                <c:pt idx="316">
                  <c:v>0.22731954915205799</c:v>
                </c:pt>
                <c:pt idx="317">
                  <c:v>0.47980832603689699</c:v>
                </c:pt>
                <c:pt idx="318">
                  <c:v>0.42601571494142898</c:v>
                </c:pt>
                <c:pt idx="319">
                  <c:v>0.37421923379800898</c:v>
                </c:pt>
                <c:pt idx="320">
                  <c:v>0.33231073999286198</c:v>
                </c:pt>
                <c:pt idx="321">
                  <c:v>0.298203727186717</c:v>
                </c:pt>
                <c:pt idx="322">
                  <c:v>0.23719100449998701</c:v>
                </c:pt>
                <c:pt idx="323">
                  <c:v>0.41383278528421302</c:v>
                </c:pt>
                <c:pt idx="324">
                  <c:v>0.38380952206094998</c:v>
                </c:pt>
                <c:pt idx="325">
                  <c:v>0.32163354891510698</c:v>
                </c:pt>
                <c:pt idx="326">
                  <c:v>0.26639986895128198</c:v>
                </c:pt>
                <c:pt idx="327">
                  <c:v>0.23466864959453901</c:v>
                </c:pt>
                <c:pt idx="328">
                  <c:v>0.40772327039755601</c:v>
                </c:pt>
                <c:pt idx="329">
                  <c:v>0.323386415534272</c:v>
                </c:pt>
                <c:pt idx="330">
                  <c:v>0.27105191725648797</c:v>
                </c:pt>
                <c:pt idx="331">
                  <c:v>0.240014826800382</c:v>
                </c:pt>
                <c:pt idx="332">
                  <c:v>0.17615133993419699</c:v>
                </c:pt>
                <c:pt idx="333">
                  <c:v>0.27247463074509498</c:v>
                </c:pt>
                <c:pt idx="334">
                  <c:v>0.36528698886500999</c:v>
                </c:pt>
                <c:pt idx="335">
                  <c:v>1.6358776358776202E-2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6D-4206-944A-96C5426A68C9}"/>
            </c:ext>
          </c:extLst>
        </c:ser>
        <c:ser>
          <c:idx val="3"/>
          <c:order val="1"/>
          <c:tx>
            <c:v>Core Lab 2015 - Sor &amp; Sgr</c:v>
          </c:tx>
          <c:spPr>
            <a:ln w="25400" cap="rnd">
              <a:noFill/>
              <a:round/>
            </a:ln>
            <a:effectLst/>
          </c:spPr>
          <c:marker>
            <c:symbol val="x"/>
            <c:size val="8"/>
            <c:spPr>
              <a:noFill/>
              <a:ln w="22225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marker>
          <c:xVal>
            <c:numRef>
              <c:f>'6_Keff_Swirr'!$G$376:$G$443</c:f>
              <c:numCache>
                <c:formatCode>General</c:formatCode>
                <c:ptCount val="68"/>
                <c:pt idx="0">
                  <c:v>0.11263843911445599</c:v>
                </c:pt>
                <c:pt idx="1">
                  <c:v>0.114501442260912</c:v>
                </c:pt>
                <c:pt idx="2">
                  <c:v>0.11499492637551</c:v>
                </c:pt>
                <c:pt idx="3">
                  <c:v>0.114895672435227</c:v>
                </c:pt>
                <c:pt idx="4">
                  <c:v>0.13460619865534901</c:v>
                </c:pt>
                <c:pt idx="5">
                  <c:v>0.13884329807152701</c:v>
                </c:pt>
                <c:pt idx="6">
                  <c:v>0.173002853803635</c:v>
                </c:pt>
                <c:pt idx="7">
                  <c:v>0.18847831626060599</c:v>
                </c:pt>
                <c:pt idx="8">
                  <c:v>0.184162402565023</c:v>
                </c:pt>
                <c:pt idx="9">
                  <c:v>0.18490419630758001</c:v>
                </c:pt>
                <c:pt idx="10">
                  <c:v>0.19719783839619701</c:v>
                </c:pt>
                <c:pt idx="11">
                  <c:v>0.200320530714728</c:v>
                </c:pt>
                <c:pt idx="12">
                  <c:v>0.20406301518530301</c:v>
                </c:pt>
                <c:pt idx="13">
                  <c:v>0.213658333514753</c:v>
                </c:pt>
                <c:pt idx="14">
                  <c:v>0.223746962017389</c:v>
                </c:pt>
                <c:pt idx="15">
                  <c:v>0.224569181732763</c:v>
                </c:pt>
                <c:pt idx="16">
                  <c:v>0.22449805482990401</c:v>
                </c:pt>
                <c:pt idx="17">
                  <c:v>0.22979778072419499</c:v>
                </c:pt>
                <c:pt idx="18">
                  <c:v>0.23397262728530799</c:v>
                </c:pt>
                <c:pt idx="19">
                  <c:v>0.229139724403985</c:v>
                </c:pt>
                <c:pt idx="20">
                  <c:v>0.233908822530806</c:v>
                </c:pt>
                <c:pt idx="21">
                  <c:v>0.24395045738062299</c:v>
                </c:pt>
                <c:pt idx="22">
                  <c:v>0.24684667221029699</c:v>
                </c:pt>
                <c:pt idx="23">
                  <c:v>0.24296900448235501</c:v>
                </c:pt>
                <c:pt idx="24">
                  <c:v>0.24243984972527999</c:v>
                </c:pt>
                <c:pt idx="25">
                  <c:v>0.25121749106825098</c:v>
                </c:pt>
                <c:pt idx="26">
                  <c:v>0.25817991531273299</c:v>
                </c:pt>
                <c:pt idx="27">
                  <c:v>0.26200597726988201</c:v>
                </c:pt>
                <c:pt idx="28">
                  <c:v>0.263084478987691</c:v>
                </c:pt>
                <c:pt idx="29">
                  <c:v>0.26512134448481101</c:v>
                </c:pt>
                <c:pt idx="30">
                  <c:v>0.26819990609988598</c:v>
                </c:pt>
                <c:pt idx="31">
                  <c:v>0.26927050000495101</c:v>
                </c:pt>
                <c:pt idx="32">
                  <c:v>0.27231197472249802</c:v>
                </c:pt>
                <c:pt idx="33">
                  <c:v>0.27814243181006698</c:v>
                </c:pt>
                <c:pt idx="34">
                  <c:v>0.28396749173236002</c:v>
                </c:pt>
                <c:pt idx="35">
                  <c:v>0.294282179601982</c:v>
                </c:pt>
                <c:pt idx="36">
                  <c:v>0.29821410818717797</c:v>
                </c:pt>
                <c:pt idx="37">
                  <c:v>0.30826974924827899</c:v>
                </c:pt>
                <c:pt idx="38">
                  <c:v>0.32140875622967802</c:v>
                </c:pt>
                <c:pt idx="39">
                  <c:v>0.32849686259928401</c:v>
                </c:pt>
                <c:pt idx="40">
                  <c:v>0.33957714730030703</c:v>
                </c:pt>
                <c:pt idx="41">
                  <c:v>0.33918904642383702</c:v>
                </c:pt>
                <c:pt idx="42">
                  <c:v>0.340259512449676</c:v>
                </c:pt>
                <c:pt idx="43">
                  <c:v>0.34821449213881001</c:v>
                </c:pt>
                <c:pt idx="44">
                  <c:v>0.35063112261007201</c:v>
                </c:pt>
                <c:pt idx="45">
                  <c:v>0.35318900693499</c:v>
                </c:pt>
                <c:pt idx="46">
                  <c:v>0.35877095669821102</c:v>
                </c:pt>
                <c:pt idx="47">
                  <c:v>0.37420488547958197</c:v>
                </c:pt>
                <c:pt idx="48">
                  <c:v>0.37732341692159399</c:v>
                </c:pt>
                <c:pt idx="49">
                  <c:v>0.39339892524404502</c:v>
                </c:pt>
                <c:pt idx="50">
                  <c:v>0.39523790106795897</c:v>
                </c:pt>
                <c:pt idx="51">
                  <c:v>0.11437312559771901</c:v>
                </c:pt>
                <c:pt idx="52">
                  <c:v>0.16466730423425299</c:v>
                </c:pt>
                <c:pt idx="53">
                  <c:v>0.11323107492038099</c:v>
                </c:pt>
                <c:pt idx="54">
                  <c:v>0.19847448027409201</c:v>
                </c:pt>
                <c:pt idx="55">
                  <c:v>0.16889567722986101</c:v>
                </c:pt>
                <c:pt idx="56">
                  <c:v>0.216551068854204</c:v>
                </c:pt>
                <c:pt idx="57">
                  <c:v>0.220682878215305</c:v>
                </c:pt>
                <c:pt idx="58">
                  <c:v>0.230871579651071</c:v>
                </c:pt>
                <c:pt idx="59">
                  <c:v>0.25948288935726299</c:v>
                </c:pt>
                <c:pt idx="60">
                  <c:v>0.25942346558218199</c:v>
                </c:pt>
                <c:pt idx="61">
                  <c:v>0.27721964822363099</c:v>
                </c:pt>
                <c:pt idx="62">
                  <c:v>0.27459386016223902</c:v>
                </c:pt>
                <c:pt idx="63">
                  <c:v>0.26736768151332502</c:v>
                </c:pt>
                <c:pt idx="64">
                  <c:v>0.27210425158540702</c:v>
                </c:pt>
                <c:pt idx="65">
                  <c:v>0.24159942804616399</c:v>
                </c:pt>
                <c:pt idx="66">
                  <c:v>0.28269777748891201</c:v>
                </c:pt>
                <c:pt idx="67">
                  <c:v>0.33092017096715198</c:v>
                </c:pt>
              </c:numCache>
            </c:numRef>
          </c:xVal>
          <c:yVal>
            <c:numRef>
              <c:f>'6_Keff_Swirr'!$H$376:$H$443</c:f>
              <c:numCache>
                <c:formatCode>General</c:formatCode>
                <c:ptCount val="68"/>
                <c:pt idx="0">
                  <c:v>0.41258453946950902</c:v>
                </c:pt>
                <c:pt idx="1">
                  <c:v>0.45944383582521903</c:v>
                </c:pt>
                <c:pt idx="2">
                  <c:v>0.50932026411559694</c:v>
                </c:pt>
                <c:pt idx="3">
                  <c:v>0.480050349744438</c:v>
                </c:pt>
                <c:pt idx="4">
                  <c:v>0.42241654930397698</c:v>
                </c:pt>
                <c:pt idx="5">
                  <c:v>0.35081195275258303</c:v>
                </c:pt>
                <c:pt idx="6">
                  <c:v>0.37821133602750301</c:v>
                </c:pt>
                <c:pt idx="7">
                  <c:v>0.38703178246651199</c:v>
                </c:pt>
                <c:pt idx="8">
                  <c:v>0.27507146915528802</c:v>
                </c:pt>
                <c:pt idx="9">
                  <c:v>0.32385609771066498</c:v>
                </c:pt>
                <c:pt idx="10">
                  <c:v>0.367170726273916</c:v>
                </c:pt>
                <c:pt idx="11">
                  <c:v>0.32478044916082899</c:v>
                </c:pt>
                <c:pt idx="12">
                  <c:v>0.37914142293652398</c:v>
                </c:pt>
                <c:pt idx="13">
                  <c:v>0.41382063766375898</c:v>
                </c:pt>
                <c:pt idx="14">
                  <c:v>0.16016533002217201</c:v>
                </c:pt>
                <c:pt idx="15">
                  <c:v>0.10689480304983799</c:v>
                </c:pt>
                <c:pt idx="16">
                  <c:v>0.249482180768584</c:v>
                </c:pt>
                <c:pt idx="17">
                  <c:v>0.291946887453643</c:v>
                </c:pt>
                <c:pt idx="18">
                  <c:v>0.24952984196240202</c:v>
                </c:pt>
                <c:pt idx="19">
                  <c:v>0.31091149772636001</c:v>
                </c:pt>
                <c:pt idx="20">
                  <c:v>0.31940401544868602</c:v>
                </c:pt>
                <c:pt idx="21">
                  <c:v>0.37081538022430299</c:v>
                </c:pt>
                <c:pt idx="22">
                  <c:v>0.221454387380766</c:v>
                </c:pt>
                <c:pt idx="23">
                  <c:v>0.245847165129151</c:v>
                </c:pt>
                <c:pt idx="24">
                  <c:v>0.33307747181455805</c:v>
                </c:pt>
                <c:pt idx="25">
                  <c:v>0.28246559117210202</c:v>
                </c:pt>
                <c:pt idx="26">
                  <c:v>0.34888531134375905</c:v>
                </c:pt>
                <c:pt idx="27">
                  <c:v>0.246875015837551</c:v>
                </c:pt>
                <c:pt idx="28">
                  <c:v>0.148461445004683</c:v>
                </c:pt>
                <c:pt idx="29">
                  <c:v>0.33502392804796599</c:v>
                </c:pt>
                <c:pt idx="30">
                  <c:v>0.28092520105294999</c:v>
                </c:pt>
                <c:pt idx="31">
                  <c:v>0.25443039395278999</c:v>
                </c:pt>
                <c:pt idx="32">
                  <c:v>0.33004949528750205</c:v>
                </c:pt>
                <c:pt idx="33">
                  <c:v>0.25379765053509801</c:v>
                </c:pt>
                <c:pt idx="34">
                  <c:v>0.36907179309316196</c:v>
                </c:pt>
                <c:pt idx="35">
                  <c:v>0.23350933747451103</c:v>
                </c:pt>
                <c:pt idx="36">
                  <c:v>0.33205188406552999</c:v>
                </c:pt>
                <c:pt idx="37">
                  <c:v>0.18805112677204799</c:v>
                </c:pt>
                <c:pt idx="38">
                  <c:v>0.19463245689467201</c:v>
                </c:pt>
                <c:pt idx="39">
                  <c:v>0.16698710775807998</c:v>
                </c:pt>
                <c:pt idx="40">
                  <c:v>0.18084687363700203</c:v>
                </c:pt>
                <c:pt idx="41">
                  <c:v>0.16475815897495402</c:v>
                </c:pt>
                <c:pt idx="42">
                  <c:v>0.21090633901494102</c:v>
                </c:pt>
                <c:pt idx="43">
                  <c:v>0.202176887377328</c:v>
                </c:pt>
                <c:pt idx="44">
                  <c:v>0.182133532958802</c:v>
                </c:pt>
                <c:pt idx="45">
                  <c:v>0.17094688230961</c:v>
                </c:pt>
                <c:pt idx="46">
                  <c:v>0.16095028267967798</c:v>
                </c:pt>
                <c:pt idx="47">
                  <c:v>0.14194937275559702</c:v>
                </c:pt>
                <c:pt idx="48">
                  <c:v>0.12177763000012699</c:v>
                </c:pt>
                <c:pt idx="49">
                  <c:v>5.1688514658302702E-2</c:v>
                </c:pt>
                <c:pt idx="50">
                  <c:v>0.15045219246764099</c:v>
                </c:pt>
                <c:pt idx="51">
                  <c:v>0.48973206686412601</c:v>
                </c:pt>
                <c:pt idx="52">
                  <c:v>0.468145142570635</c:v>
                </c:pt>
                <c:pt idx="53">
                  <c:v>0.43234727006558205</c:v>
                </c:pt>
                <c:pt idx="54">
                  <c:v>0.45932566395236102</c:v>
                </c:pt>
                <c:pt idx="55">
                  <c:v>0.39963324388817101</c:v>
                </c:pt>
                <c:pt idx="56">
                  <c:v>0.36968242325202705</c:v>
                </c:pt>
                <c:pt idx="57">
                  <c:v>0.33013961492155702</c:v>
                </c:pt>
                <c:pt idx="58">
                  <c:v>0.34019585085870402</c:v>
                </c:pt>
                <c:pt idx="59">
                  <c:v>0.29013627233420902</c:v>
                </c:pt>
                <c:pt idx="60">
                  <c:v>0.30796340485851198</c:v>
                </c:pt>
                <c:pt idx="61">
                  <c:v>0.30244194575723499</c:v>
                </c:pt>
                <c:pt idx="62">
                  <c:v>0.29017836417489101</c:v>
                </c:pt>
                <c:pt idx="63">
                  <c:v>0.324698625515702</c:v>
                </c:pt>
                <c:pt idx="64">
                  <c:v>0.37039427055768598</c:v>
                </c:pt>
                <c:pt idx="65">
                  <c:v>0.32184133233055695</c:v>
                </c:pt>
                <c:pt idx="66">
                  <c:v>0.259003166173016</c:v>
                </c:pt>
                <c:pt idx="67">
                  <c:v>0.19228512270081002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76D-4206-944A-96C5426A68C9}"/>
            </c:ext>
          </c:extLst>
        </c:ser>
        <c:ser>
          <c:idx val="5"/>
          <c:order val="4"/>
          <c:tx>
            <c:v>Tight Sand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'6_Keff_Swirr'!$AF$38:$AF$44</c:f>
              <c:numCache>
                <c:formatCode>General</c:formatCode>
                <c:ptCount val="7"/>
                <c:pt idx="0">
                  <c:v>0.03</c:v>
                </c:pt>
                <c:pt idx="1">
                  <c:v>7.0000000000000007E-2</c:v>
                </c:pt>
                <c:pt idx="2">
                  <c:v>0.1</c:v>
                </c:pt>
                <c:pt idx="3">
                  <c:v>0.12</c:v>
                </c:pt>
                <c:pt idx="4">
                  <c:v>0.17</c:v>
                </c:pt>
                <c:pt idx="5">
                  <c:v>0.18</c:v>
                </c:pt>
                <c:pt idx="6">
                  <c:v>0.19</c:v>
                </c:pt>
              </c:numCache>
            </c:numRef>
          </c:xVal>
          <c:yVal>
            <c:numRef>
              <c:f>'6_Keff_Swirr'!$AE$38:$AE$44</c:f>
              <c:numCache>
                <c:formatCode>0.000</c:formatCode>
                <c:ptCount val="7"/>
                <c:pt idx="0">
                  <c:v>0.20592259506777819</c:v>
                </c:pt>
                <c:pt idx="1">
                  <c:v>0.24634548139113094</c:v>
                </c:pt>
                <c:pt idx="2">
                  <c:v>0.26336172961655996</c:v>
                </c:pt>
                <c:pt idx="3">
                  <c:v>0.27205992644808596</c:v>
                </c:pt>
                <c:pt idx="4">
                  <c:v>0.28867694221823398</c:v>
                </c:pt>
                <c:pt idx="5">
                  <c:v>0.29140385582571027</c:v>
                </c:pt>
                <c:pt idx="6">
                  <c:v>0.29398329481807256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76D-4206-944A-96C5426A68C9}"/>
            </c:ext>
          </c:extLst>
        </c:ser>
        <c:ser>
          <c:idx val="4"/>
          <c:order val="5"/>
          <c:tx>
            <c:v>Volcanics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41275" cap="rnd">
                <a:solidFill>
                  <a:schemeClr val="tx1"/>
                </a:solidFill>
                <a:prstDash val="dash"/>
              </a:ln>
              <a:effectLst/>
            </c:spPr>
            <c:trendlineType val="power"/>
            <c:forward val="1"/>
            <c:backward val="1"/>
            <c:dispRSqr val="0"/>
            <c:dispEq val="0"/>
          </c:trendline>
          <c:xVal>
            <c:numRef>
              <c:f>'6_Keff_Swirr'!$AI$38:$AI$47</c:f>
              <c:numCache>
                <c:formatCode>General</c:formatCode>
                <c:ptCount val="10"/>
                <c:pt idx="0">
                  <c:v>4.4999999999999998E-2</c:v>
                </c:pt>
                <c:pt idx="1">
                  <c:v>0.06</c:v>
                </c:pt>
                <c:pt idx="2">
                  <c:v>0.09</c:v>
                </c:pt>
                <c:pt idx="3">
                  <c:v>0.13</c:v>
                </c:pt>
                <c:pt idx="4">
                  <c:v>0.16</c:v>
                </c:pt>
                <c:pt idx="5">
                  <c:v>0.21</c:v>
                </c:pt>
                <c:pt idx="6">
                  <c:v>0.22</c:v>
                </c:pt>
                <c:pt idx="7">
                  <c:v>0.25</c:v>
                </c:pt>
                <c:pt idx="8">
                  <c:v>0.25</c:v>
                </c:pt>
                <c:pt idx="9">
                  <c:v>0.26</c:v>
                </c:pt>
              </c:numCache>
            </c:numRef>
          </c:xVal>
          <c:yVal>
            <c:numRef>
              <c:f>'6_Keff_Swirr'!$AH$38:$AH$47</c:f>
              <c:numCache>
                <c:formatCode>General</c:formatCode>
                <c:ptCount val="10"/>
                <c:pt idx="0">
                  <c:v>0.05</c:v>
                </c:pt>
                <c:pt idx="1">
                  <c:v>0.09</c:v>
                </c:pt>
                <c:pt idx="2">
                  <c:v>9.5000000000000001E-2</c:v>
                </c:pt>
                <c:pt idx="3">
                  <c:v>0.105</c:v>
                </c:pt>
                <c:pt idx="4">
                  <c:v>0.11</c:v>
                </c:pt>
                <c:pt idx="5">
                  <c:v>0.04</c:v>
                </c:pt>
                <c:pt idx="6">
                  <c:v>0.2</c:v>
                </c:pt>
                <c:pt idx="7">
                  <c:v>0.09</c:v>
                </c:pt>
                <c:pt idx="8">
                  <c:v>0.15</c:v>
                </c:pt>
                <c:pt idx="9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76D-4206-944A-96C5426A68C9}"/>
            </c:ext>
          </c:extLst>
        </c:ser>
        <c:ser>
          <c:idx val="6"/>
          <c:order val="6"/>
          <c:tx>
            <c:v>Low Clay Contenet Sand</c:v>
          </c:tx>
          <c:spPr>
            <a:ln w="25400" cap="rnd">
              <a:noFill/>
              <a:round/>
            </a:ln>
            <a:effectLst/>
          </c:spPr>
          <c:marker>
            <c:symbol val="x"/>
            <c:size val="12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'6_Keff_Swirr'!$AL$38:$AL$50</c:f>
              <c:numCache>
                <c:formatCode>General</c:formatCode>
                <c:ptCount val="13"/>
                <c:pt idx="0">
                  <c:v>0.13</c:v>
                </c:pt>
                <c:pt idx="1">
                  <c:v>0.105</c:v>
                </c:pt>
                <c:pt idx="2">
                  <c:v>0.223</c:v>
                </c:pt>
                <c:pt idx="3">
                  <c:v>0.217</c:v>
                </c:pt>
                <c:pt idx="4">
                  <c:v>0.21199999999999999</c:v>
                </c:pt>
                <c:pt idx="5">
                  <c:v>0.17899999999999999</c:v>
                </c:pt>
                <c:pt idx="6">
                  <c:v>0.32169999999999999</c:v>
                </c:pt>
                <c:pt idx="7">
                  <c:v>0.109</c:v>
                </c:pt>
                <c:pt idx="8">
                  <c:v>0.24399999999999999</c:v>
                </c:pt>
                <c:pt idx="9">
                  <c:v>0.27700000000000002</c:v>
                </c:pt>
                <c:pt idx="10">
                  <c:v>0.26700000000000002</c:v>
                </c:pt>
                <c:pt idx="11">
                  <c:v>0.24299999999999999</c:v>
                </c:pt>
                <c:pt idx="12">
                  <c:v>0.22500000000000001</c:v>
                </c:pt>
              </c:numCache>
            </c:numRef>
          </c:xVal>
          <c:yVal>
            <c:numRef>
              <c:f>'6_Keff_Swirr'!$AK$38:$AK$50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0.33100000000000002</c:v>
                </c:pt>
                <c:pt idx="4">
                  <c:v>0.30299999999999999</c:v>
                </c:pt>
                <c:pt idx="5">
                  <c:v>#N/A</c:v>
                </c:pt>
                <c:pt idx="6">
                  <c:v>0.26900000000000002</c:v>
                </c:pt>
                <c:pt idx="7">
                  <c:v>#N/A</c:v>
                </c:pt>
                <c:pt idx="8">
                  <c:v>0.27900000000000003</c:v>
                </c:pt>
                <c:pt idx="9">
                  <c:v>0.27900000000000003</c:v>
                </c:pt>
                <c:pt idx="10">
                  <c:v>0.35</c:v>
                </c:pt>
                <c:pt idx="11">
                  <c:v>0.39</c:v>
                </c:pt>
                <c:pt idx="12">
                  <c:v>0.373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DC-4B33-BE97-260FCD378E24}"/>
            </c:ext>
          </c:extLst>
        </c:ser>
        <c:ser>
          <c:idx val="7"/>
          <c:order val="7"/>
          <c:tx>
            <c:v>Timor Leste Bayu Undan</c:v>
          </c:tx>
          <c:spPr>
            <a:ln w="2540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'6_Keff_Swirr'!$AR$38:$AR$67</c:f>
              <c:numCache>
                <c:formatCode>General</c:formatCode>
                <c:ptCount val="30"/>
                <c:pt idx="0">
                  <c:v>0.14099999999999999</c:v>
                </c:pt>
                <c:pt idx="1">
                  <c:v>0.13800000000000001</c:v>
                </c:pt>
                <c:pt idx="2">
                  <c:v>0.14000000000000001</c:v>
                </c:pt>
                <c:pt idx="3">
                  <c:v>8.1000000000000003E-2</c:v>
                </c:pt>
                <c:pt idx="4">
                  <c:v>0.16200000000000001</c:v>
                </c:pt>
                <c:pt idx="5">
                  <c:v>0.16600000000000001</c:v>
                </c:pt>
                <c:pt idx="6">
                  <c:v>0.111</c:v>
                </c:pt>
                <c:pt idx="7">
                  <c:v>0.16900000000000001</c:v>
                </c:pt>
                <c:pt idx="8">
                  <c:v>0.126</c:v>
                </c:pt>
                <c:pt idx="9">
                  <c:v>0.14099999999999999</c:v>
                </c:pt>
                <c:pt idx="10">
                  <c:v>0.10100000000000001</c:v>
                </c:pt>
                <c:pt idx="11">
                  <c:v>0.157</c:v>
                </c:pt>
                <c:pt idx="12">
                  <c:v>0.13900000000000001</c:v>
                </c:pt>
                <c:pt idx="13">
                  <c:v>9.6000000000000002E-2</c:v>
                </c:pt>
                <c:pt idx="14">
                  <c:v>0.14000000000000001</c:v>
                </c:pt>
                <c:pt idx="15">
                  <c:v>0.11900000000000001</c:v>
                </c:pt>
                <c:pt idx="16">
                  <c:v>0.16699999999999998</c:v>
                </c:pt>
                <c:pt idx="17">
                  <c:v>0.13500000000000001</c:v>
                </c:pt>
                <c:pt idx="18">
                  <c:v>8.900000000000001E-2</c:v>
                </c:pt>
                <c:pt idx="19">
                  <c:v>0.154</c:v>
                </c:pt>
                <c:pt idx="20">
                  <c:v>0.17300000000000001</c:v>
                </c:pt>
                <c:pt idx="21">
                  <c:v>0.12</c:v>
                </c:pt>
                <c:pt idx="22">
                  <c:v>0.154</c:v>
                </c:pt>
                <c:pt idx="23">
                  <c:v>0.14599999999999999</c:v>
                </c:pt>
                <c:pt idx="24">
                  <c:v>0.14499999999999999</c:v>
                </c:pt>
                <c:pt idx="25">
                  <c:v>0.161</c:v>
                </c:pt>
                <c:pt idx="26">
                  <c:v>8.900000000000001E-2</c:v>
                </c:pt>
                <c:pt idx="27">
                  <c:v>0.123</c:v>
                </c:pt>
                <c:pt idx="28">
                  <c:v>0.13200000000000001</c:v>
                </c:pt>
                <c:pt idx="29">
                  <c:v>0.14499999999999999</c:v>
                </c:pt>
              </c:numCache>
            </c:numRef>
          </c:xVal>
          <c:yVal>
            <c:numRef>
              <c:f>'6_Keff_Swirr'!$AQ$38:$AQ$67</c:f>
              <c:numCache>
                <c:formatCode>General</c:formatCode>
                <c:ptCount val="30"/>
                <c:pt idx="0">
                  <c:v>0.46400000000000002</c:v>
                </c:pt>
                <c:pt idx="1">
                  <c:v>0.54800000000000004</c:v>
                </c:pt>
                <c:pt idx="2">
                  <c:v>0.54300000000000004</c:v>
                </c:pt>
                <c:pt idx="3">
                  <c:v>0.50900000000000001</c:v>
                </c:pt>
                <c:pt idx="4">
                  <c:v>0.48599999999999999</c:v>
                </c:pt>
                <c:pt idx="5">
                  <c:v>0.503</c:v>
                </c:pt>
                <c:pt idx="6">
                  <c:v>0.59499999999999997</c:v>
                </c:pt>
                <c:pt idx="7">
                  <c:v>0.40200000000000002</c:v>
                </c:pt>
                <c:pt idx="8">
                  <c:v>0.49700000000000005</c:v>
                </c:pt>
                <c:pt idx="9">
                  <c:v>0.502</c:v>
                </c:pt>
                <c:pt idx="10">
                  <c:v>0.56100000000000005</c:v>
                </c:pt>
                <c:pt idx="11">
                  <c:v>0.48399999999999999</c:v>
                </c:pt>
                <c:pt idx="12">
                  <c:v>0.504</c:v>
                </c:pt>
                <c:pt idx="13">
                  <c:v>0.63600000000000001</c:v>
                </c:pt>
                <c:pt idx="14">
                  <c:v>0.52400000000000002</c:v>
                </c:pt>
                <c:pt idx="15">
                  <c:v>0.51700000000000002</c:v>
                </c:pt>
                <c:pt idx="16">
                  <c:v>0.43200000000000005</c:v>
                </c:pt>
                <c:pt idx="17">
                  <c:v>0.51900000000000002</c:v>
                </c:pt>
                <c:pt idx="18">
                  <c:v>0.52900000000000003</c:v>
                </c:pt>
                <c:pt idx="19">
                  <c:v>0.46600000000000003</c:v>
                </c:pt>
                <c:pt idx="20">
                  <c:v>0.39100000000000001</c:v>
                </c:pt>
                <c:pt idx="21">
                  <c:v>0.49399999999999999</c:v>
                </c:pt>
                <c:pt idx="22">
                  <c:v>0.51800000000000002</c:v>
                </c:pt>
                <c:pt idx="23">
                  <c:v>0.504</c:v>
                </c:pt>
                <c:pt idx="24">
                  <c:v>0.53200000000000003</c:v>
                </c:pt>
                <c:pt idx="25">
                  <c:v>0.49399999999999999</c:v>
                </c:pt>
                <c:pt idx="26">
                  <c:v>0.59799999999999998</c:v>
                </c:pt>
                <c:pt idx="27">
                  <c:v>0.503</c:v>
                </c:pt>
                <c:pt idx="28">
                  <c:v>0.498</c:v>
                </c:pt>
                <c:pt idx="29">
                  <c:v>0.45899999999999996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EDC-4B33-BE97-260FCD378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4210768"/>
        <c:axId val="76421116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2"/>
                <c:tx>
                  <c:v>Interpreted SgrM - Clean Sand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14"/>
                  <c:spPr>
                    <a:noFill/>
                    <a:ln w="22225">
                      <a:solidFill>
                        <a:schemeClr val="tx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'6_Keff_Swirr'!$E$12:$E$15</c15:sqref>
                        </c15:formulaRef>
                      </c:ext>
                    </c:extLst>
                    <c:numCache>
                      <c:formatCode>0.000</c:formatCode>
                      <c:ptCount val="4"/>
                      <c:pt idx="0">
                        <c:v>0.26094664376519333</c:v>
                      </c:pt>
                      <c:pt idx="1">
                        <c:v>0.26532070589255924</c:v>
                      </c:pt>
                      <c:pt idx="2">
                        <c:v>0.2516677927408203</c:v>
                      </c:pt>
                      <c:pt idx="3">
                        <c:v>0.27992097635383201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'6_Keff_Swirr'!$O$12:$O$15</c15:sqref>
                        </c15:formulaRef>
                      </c:ext>
                    </c:extLst>
                    <c:numCache>
                      <c:formatCode>?0.000</c:formatCode>
                      <c:ptCount val="4"/>
                      <c:pt idx="0">
                        <c:v>0.23056057742584934</c:v>
                      </c:pt>
                      <c:pt idx="1">
                        <c:v>0.23463721285625685</c:v>
                      </c:pt>
                      <c:pt idx="2">
                        <c:v>0.22491679477752841</c:v>
                      </c:pt>
                      <c:pt idx="3">
                        <c:v>0.24549097666499584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776D-4206-944A-96C5426A68C9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v>Interpreted SgrM - Shaly Sand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14"/>
                  <c:spPr>
                    <a:noFill/>
                    <a:ln w="22225">
                      <a:solidFill>
                        <a:srgbClr val="FF0000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('6_Keff_Swirr'!$E$11,'6_Keff_Swirr'!$E$16:$E$17)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0.20599520372727181</c:v>
                      </c:pt>
                      <c:pt idx="1">
                        <c:v>0.20358698399503133</c:v>
                      </c:pt>
                      <c:pt idx="2">
                        <c:v>0.15260318432905348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('6_Keff_Swirr'!$O$11,'6_Keff_Swirr'!$O$16:$O$17)</c15:sqref>
                        </c15:formulaRef>
                      </c:ext>
                    </c:extLst>
                    <c:numCache>
                      <c:formatCode>?0.000</c:formatCode>
                      <c:ptCount val="3"/>
                      <c:pt idx="0">
                        <c:v>0.31000000000000005</c:v>
                      </c:pt>
                      <c:pt idx="1">
                        <c:v>0.31000000000000005</c:v>
                      </c:pt>
                      <c:pt idx="2">
                        <c:v>0.12842988977881711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76D-4206-944A-96C5426A68C9}"/>
                  </c:ext>
                </c:extLst>
              </c15:ser>
            </c15:filteredScatterSeries>
          </c:ext>
        </c:extLst>
      </c:scatterChart>
      <c:valAx>
        <c:axId val="764210768"/>
        <c:scaling>
          <c:orientation val="minMax"/>
          <c:max val="0.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Porosity (V/V)</a:t>
                </a:r>
              </a:p>
            </c:rich>
          </c:tx>
          <c:layout>
            <c:manualLayout>
              <c:xMode val="edge"/>
              <c:yMode val="edge"/>
              <c:x val="0.42318779624072889"/>
              <c:y val="0.9432859080122555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64211160"/>
        <c:crosses val="autoZero"/>
        <c:crossBetween val="midCat"/>
      </c:valAx>
      <c:valAx>
        <c:axId val="7642111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Residual Non-Wetting Phase (V/V)</a:t>
                </a:r>
              </a:p>
            </c:rich>
          </c:tx>
          <c:layout>
            <c:manualLayout>
              <c:xMode val="edge"/>
              <c:yMode val="edge"/>
              <c:x val="1.6183865842861526E-2"/>
              <c:y val="0.161017407218472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64210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5011318262288843"/>
          <c:y val="9.6857495402229831E-3"/>
          <c:w val="0.49727377714278204"/>
          <c:h val="0.1896390973143153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2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26262356650718"/>
          <c:y val="5.0925925925925923E-2"/>
          <c:w val="0.82991802449963403"/>
          <c:h val="0.82977072114811934"/>
        </c:manualLayout>
      </c:layout>
      <c:scatterChart>
        <c:scatterStyle val="lineMarker"/>
        <c:varyColors val="0"/>
        <c:ser>
          <c:idx val="0"/>
          <c:order val="0"/>
          <c:tx>
            <c:v>Literature</c:v>
          </c:tx>
          <c:spPr>
            <a:ln w="28575" cap="rnd">
              <a:noFill/>
              <a:round/>
            </a:ln>
            <a:effectLst/>
          </c:spPr>
          <c:marker>
            <c:symbol val="plus"/>
            <c:size val="12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'6_Keff_Swirr'!$N$40:$N$96</c:f>
              <c:numCache>
                <c:formatCode>0.000</c:formatCode>
                <c:ptCount val="57"/>
                <c:pt idx="0">
                  <c:v>1.42384947876938E-2</c:v>
                </c:pt>
                <c:pt idx="1">
                  <c:v>6.8599757945588605E-2</c:v>
                </c:pt>
                <c:pt idx="2">
                  <c:v>7.7093567251461895E-2</c:v>
                </c:pt>
                <c:pt idx="3">
                  <c:v>9.6233585280724801E-2</c:v>
                </c:pt>
                <c:pt idx="4">
                  <c:v>9.0492397660818694E-2</c:v>
                </c:pt>
                <c:pt idx="5">
                  <c:v>0.150752911263666</c:v>
                </c:pt>
                <c:pt idx="6">
                  <c:v>0.23836664124078299</c:v>
                </c:pt>
                <c:pt idx="7">
                  <c:v>0.27436297991355102</c:v>
                </c:pt>
                <c:pt idx="8">
                  <c:v>0.29745497076023297</c:v>
                </c:pt>
                <c:pt idx="9">
                  <c:v>0.29745497076023297</c:v>
                </c:pt>
                <c:pt idx="10">
                  <c:v>0.33548883803712098</c:v>
                </c:pt>
                <c:pt idx="11">
                  <c:v>0.33684719043986699</c:v>
                </c:pt>
                <c:pt idx="12">
                  <c:v>0.35586412407831097</c:v>
                </c:pt>
                <c:pt idx="13">
                  <c:v>0.468607373506229</c:v>
                </c:pt>
                <c:pt idx="14">
                  <c:v>0.468607373506229</c:v>
                </c:pt>
                <c:pt idx="15">
                  <c:v>0.50120783117213297</c:v>
                </c:pt>
                <c:pt idx="16">
                  <c:v>0.541094533435036</c:v>
                </c:pt>
                <c:pt idx="17">
                  <c:v>0.56253744215611501</c:v>
                </c:pt>
                <c:pt idx="18">
                  <c:v>0.55461698449021002</c:v>
                </c:pt>
                <c:pt idx="19">
                  <c:v>0.62889295703025605</c:v>
                </c:pt>
                <c:pt idx="20">
                  <c:v>1.55555555555555E-2</c:v>
                </c:pt>
                <c:pt idx="21">
                  <c:v>1.22222222222222E-2</c:v>
                </c:pt>
                <c:pt idx="22">
                  <c:v>1.55555555555555E-2</c:v>
                </c:pt>
                <c:pt idx="23">
                  <c:v>0.02</c:v>
                </c:pt>
                <c:pt idx="24">
                  <c:v>2.6666666666666599E-2</c:v>
                </c:pt>
                <c:pt idx="25">
                  <c:v>7.7777777777777696E-2</c:v>
                </c:pt>
                <c:pt idx="26">
                  <c:v>0.122222222222222</c:v>
                </c:pt>
                <c:pt idx="27">
                  <c:v>0.13111111111111101</c:v>
                </c:pt>
                <c:pt idx="28">
                  <c:v>0.16666666666666599</c:v>
                </c:pt>
                <c:pt idx="29">
                  <c:v>0.154444444444444</c:v>
                </c:pt>
                <c:pt idx="30">
                  <c:v>0.17555555555555499</c:v>
                </c:pt>
                <c:pt idx="31">
                  <c:v>0.18</c:v>
                </c:pt>
                <c:pt idx="32">
                  <c:v>0.193333333333333</c:v>
                </c:pt>
                <c:pt idx="33">
                  <c:v>0.21111111111111</c:v>
                </c:pt>
                <c:pt idx="34">
                  <c:v>0.24222222222222201</c:v>
                </c:pt>
                <c:pt idx="35">
                  <c:v>0.26555555555555499</c:v>
                </c:pt>
                <c:pt idx="36">
                  <c:v>0.23</c:v>
                </c:pt>
                <c:pt idx="37">
                  <c:v>0.22666666666666599</c:v>
                </c:pt>
                <c:pt idx="38">
                  <c:v>0.30888888888888799</c:v>
                </c:pt>
                <c:pt idx="39">
                  <c:v>0.30888888888888799</c:v>
                </c:pt>
                <c:pt idx="40">
                  <c:v>0.301111111111111</c:v>
                </c:pt>
                <c:pt idx="41">
                  <c:v>0.30666666666666598</c:v>
                </c:pt>
                <c:pt idx="42">
                  <c:v>0.31333333333333302</c:v>
                </c:pt>
                <c:pt idx="43">
                  <c:v>0.30444444444444402</c:v>
                </c:pt>
                <c:pt idx="44">
                  <c:v>0.29222222222222199</c:v>
                </c:pt>
                <c:pt idx="45">
                  <c:v>0.39888888888888802</c:v>
                </c:pt>
                <c:pt idx="46">
                  <c:v>0.39333333333333298</c:v>
                </c:pt>
                <c:pt idx="47">
                  <c:v>0.39</c:v>
                </c:pt>
                <c:pt idx="48">
                  <c:v>0.34666666666666601</c:v>
                </c:pt>
                <c:pt idx="49">
                  <c:v>0.371111111111111</c:v>
                </c:pt>
                <c:pt idx="50">
                  <c:v>0.3</c:v>
                </c:pt>
                <c:pt idx="51">
                  <c:v>0.29666666666666602</c:v>
                </c:pt>
                <c:pt idx="52">
                  <c:v>0.31333333333333302</c:v>
                </c:pt>
                <c:pt idx="53">
                  <c:v>0.29666666666666602</c:v>
                </c:pt>
                <c:pt idx="54">
                  <c:v>0.28333333333333299</c:v>
                </c:pt>
                <c:pt idx="55">
                  <c:v>0.30444444444444402</c:v>
                </c:pt>
                <c:pt idx="56">
                  <c:v>7.1111111111111097E-2</c:v>
                </c:pt>
              </c:numCache>
            </c:numRef>
          </c:xVal>
          <c:yVal>
            <c:numRef>
              <c:f>'6_Keff_Swirr'!$O$40:$O$96</c:f>
              <c:numCache>
                <c:formatCode>0.000</c:formatCode>
                <c:ptCount val="57"/>
                <c:pt idx="0">
                  <c:v>0.61584239858793599</c:v>
                </c:pt>
                <c:pt idx="1">
                  <c:v>0.66712701008381203</c:v>
                </c:pt>
                <c:pt idx="2">
                  <c:v>0.72153407509780898</c:v>
                </c:pt>
                <c:pt idx="3">
                  <c:v>0.661331768257168</c:v>
                </c:pt>
                <c:pt idx="4">
                  <c:v>0.69915400367396496</c:v>
                </c:pt>
                <c:pt idx="5">
                  <c:v>0.76087813756964395</c:v>
                </c:pt>
                <c:pt idx="6">
                  <c:v>0.62133212350832501</c:v>
                </c:pt>
                <c:pt idx="7">
                  <c:v>0.62566551871723497</c:v>
                </c:pt>
                <c:pt idx="8">
                  <c:v>0.34051372782405198</c:v>
                </c:pt>
                <c:pt idx="9">
                  <c:v>0.22056032276901799</c:v>
                </c:pt>
                <c:pt idx="10">
                  <c:v>0.13613349650603601</c:v>
                </c:pt>
                <c:pt idx="11">
                  <c:v>0.350871713679897</c:v>
                </c:pt>
                <c:pt idx="12">
                  <c:v>0.651106668172168</c:v>
                </c:pt>
                <c:pt idx="13">
                  <c:v>0.64627640310811596</c:v>
                </c:pt>
                <c:pt idx="14">
                  <c:v>0.54652670399850301</c:v>
                </c:pt>
                <c:pt idx="15">
                  <c:v>0.49650948966081498</c:v>
                </c:pt>
                <c:pt idx="16">
                  <c:v>0.267104609218829</c:v>
                </c:pt>
                <c:pt idx="17">
                  <c:v>0.20729136202020901</c:v>
                </c:pt>
                <c:pt idx="18">
                  <c:v>0.25644784469964799</c:v>
                </c:pt>
                <c:pt idx="19">
                  <c:v>0.36805055779983697</c:v>
                </c:pt>
                <c:pt idx="20">
                  <c:v>0.77699633699633697</c:v>
                </c:pt>
                <c:pt idx="21">
                  <c:v>0.80005494505494501</c:v>
                </c:pt>
                <c:pt idx="22">
                  <c:v>0.86271062271062204</c:v>
                </c:pt>
                <c:pt idx="23">
                  <c:v>0.90888888888888897</c:v>
                </c:pt>
                <c:pt idx="24">
                  <c:v>0.90233211233211197</c:v>
                </c:pt>
                <c:pt idx="25">
                  <c:v>0.65206349206349201</c:v>
                </c:pt>
                <c:pt idx="26">
                  <c:v>0.62263736263736202</c:v>
                </c:pt>
                <c:pt idx="27">
                  <c:v>0.65235653235653202</c:v>
                </c:pt>
                <c:pt idx="28">
                  <c:v>0.66573870573870497</c:v>
                </c:pt>
                <c:pt idx="29">
                  <c:v>0.59314407814407799</c:v>
                </c:pt>
                <c:pt idx="30">
                  <c:v>0.58007326007325999</c:v>
                </c:pt>
                <c:pt idx="31">
                  <c:v>0.56031746031745999</c:v>
                </c:pt>
                <c:pt idx="32">
                  <c:v>0.53236874236874199</c:v>
                </c:pt>
                <c:pt idx="33">
                  <c:v>0.55224664224664199</c:v>
                </c:pt>
                <c:pt idx="34">
                  <c:v>0.57384615384615301</c:v>
                </c:pt>
                <c:pt idx="35">
                  <c:v>0.559139194139194</c:v>
                </c:pt>
                <c:pt idx="36">
                  <c:v>0.51443833943833905</c:v>
                </c:pt>
                <c:pt idx="37">
                  <c:v>0.48145299145299097</c:v>
                </c:pt>
                <c:pt idx="38">
                  <c:v>0.61212454212454204</c:v>
                </c:pt>
                <c:pt idx="39">
                  <c:v>0.57256410256410195</c:v>
                </c:pt>
                <c:pt idx="40">
                  <c:v>0.56757631257631203</c:v>
                </c:pt>
                <c:pt idx="41">
                  <c:v>0.541233211233211</c:v>
                </c:pt>
                <c:pt idx="42">
                  <c:v>0.53302808302808302</c:v>
                </c:pt>
                <c:pt idx="43">
                  <c:v>0.51484737484737397</c:v>
                </c:pt>
                <c:pt idx="44">
                  <c:v>0.52631868131868098</c:v>
                </c:pt>
                <c:pt idx="45">
                  <c:v>0.533498168498168</c:v>
                </c:pt>
                <c:pt idx="46">
                  <c:v>0.51863247863247797</c:v>
                </c:pt>
                <c:pt idx="47">
                  <c:v>0.50542735042734999</c:v>
                </c:pt>
                <c:pt idx="48">
                  <c:v>0.44255189255189198</c:v>
                </c:pt>
                <c:pt idx="49">
                  <c:v>0.43444444444444402</c:v>
                </c:pt>
                <c:pt idx="50">
                  <c:v>0.46207570207570198</c:v>
                </c:pt>
                <c:pt idx="51">
                  <c:v>0.4752442002442</c:v>
                </c:pt>
                <c:pt idx="52">
                  <c:v>0.46544566544566501</c:v>
                </c:pt>
                <c:pt idx="53">
                  <c:v>0.43568376068376002</c:v>
                </c:pt>
                <c:pt idx="54">
                  <c:v>0.42242368742368702</c:v>
                </c:pt>
                <c:pt idx="55">
                  <c:v>0.41594627594627598</c:v>
                </c:pt>
                <c:pt idx="56">
                  <c:v>0.71796092796092803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B9-4949-8257-0CE9F32FC6E0}"/>
            </c:ext>
          </c:extLst>
        </c:ser>
        <c:ser>
          <c:idx val="1"/>
          <c:order val="1"/>
          <c:tx>
            <c:v>Estimated Sgo - Clean Sand 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2"/>
            <c:spPr>
              <a:noFill/>
              <a:ln w="22225">
                <a:solidFill>
                  <a:schemeClr val="tx1"/>
                </a:solidFill>
              </a:ln>
              <a:effectLst/>
            </c:spPr>
          </c:marker>
          <c:xVal>
            <c:numRef>
              <c:f>'6_Keff_Swirr'!$G$12:$G$15</c:f>
              <c:numCache>
                <c:formatCode>0.000</c:formatCode>
                <c:ptCount val="4"/>
                <c:pt idx="0">
                  <c:v>0.12545341359349829</c:v>
                </c:pt>
                <c:pt idx="1">
                  <c:v>0.1406479667348654</c:v>
                </c:pt>
                <c:pt idx="2">
                  <c:v>0.10350862794780469</c:v>
                </c:pt>
                <c:pt idx="3">
                  <c:v>0.17864204751261872</c:v>
                </c:pt>
              </c:numCache>
            </c:numRef>
          </c:xVal>
          <c:yVal>
            <c:numRef>
              <c:f>'6_Keff_Swirr'!$K$12:$K$15</c:f>
              <c:numCache>
                <c:formatCode>0.0000</c:formatCode>
                <c:ptCount val="4"/>
                <c:pt idx="0">
                  <c:v>0.65972628011421186</c:v>
                </c:pt>
                <c:pt idx="1">
                  <c:v>0.64757063760111822</c:v>
                </c:pt>
                <c:pt idx="2">
                  <c:v>0.67728210863076677</c:v>
                </c:pt>
                <c:pt idx="3">
                  <c:v>0.61717537297891556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B9-4949-8257-0CE9F32FC6E0}"/>
            </c:ext>
          </c:extLst>
        </c:ser>
        <c:ser>
          <c:idx val="3"/>
          <c:order val="2"/>
          <c:tx>
            <c:v>Estimated Sgo - Shaly Sand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2"/>
            <c:spPr>
              <a:noFill/>
              <a:ln w="28575">
                <a:solidFill>
                  <a:srgbClr val="FF0000"/>
                </a:solidFill>
              </a:ln>
              <a:effectLst/>
            </c:spPr>
          </c:marker>
          <c:xVal>
            <c:numRef>
              <c:f>('6_Keff_Swirr'!$G$11,'6_Keff_Swirr'!$G$16:$G$17)</c:f>
              <c:numCache>
                <c:formatCode>0.000</c:formatCode>
                <c:ptCount val="3"/>
                <c:pt idx="0">
                  <c:v>0.5035712794261431</c:v>
                </c:pt>
                <c:pt idx="1">
                  <c:v>0.47045109127679269</c:v>
                </c:pt>
                <c:pt idx="2">
                  <c:v>0.8402255926966582</c:v>
                </c:pt>
              </c:numCache>
            </c:numRef>
          </c:xVal>
          <c:yVal>
            <c:numRef>
              <c:f>('6_Keff_Swirr'!$K$11,'6_Keff_Swirr'!$K$16:$K$17)</c:f>
              <c:numCache>
                <c:formatCode>0.0000</c:formatCode>
                <c:ptCount val="3"/>
                <c:pt idx="0">
                  <c:v>0.35723198744809587</c:v>
                </c:pt>
                <c:pt idx="1">
                  <c:v>0.38372813796757621</c:v>
                </c:pt>
                <c:pt idx="2">
                  <c:v>0.27450000000000002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3B9-4949-8257-0CE9F32FC6E0}"/>
            </c:ext>
          </c:extLst>
        </c:ser>
        <c:ser>
          <c:idx val="2"/>
          <c:order val="3"/>
          <c:tx>
            <c:v>Regression Model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28575" cap="rnd">
                <a:solidFill>
                  <a:schemeClr val="tx1"/>
                </a:solidFill>
                <a:prstDash val="dash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8053112399261168"/>
                  <c:y val="-3.993957203740497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'6_Keff_Swirr'!$P$40:$P$50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'6_Keff_Swirr'!$Q$40:$Q$50</c:f>
              <c:numCache>
                <c:formatCode>General</c:formatCode>
                <c:ptCount val="11"/>
                <c:pt idx="0">
                  <c:v>0.76008901098901061</c:v>
                </c:pt>
                <c:pt idx="1">
                  <c:v>0.68008901098901053</c:v>
                </c:pt>
                <c:pt idx="2">
                  <c:v>0.60008901098901046</c:v>
                </c:pt>
                <c:pt idx="3">
                  <c:v>0.5200890109890105</c:v>
                </c:pt>
                <c:pt idx="4">
                  <c:v>0.44008901098901038</c:v>
                </c:pt>
                <c:pt idx="5">
                  <c:v>0.36008901098901036</c:v>
                </c:pt>
                <c:pt idx="6">
                  <c:v>0.28008901098901035</c:v>
                </c:pt>
                <c:pt idx="7">
                  <c:v>0.20008901098901033</c:v>
                </c:pt>
                <c:pt idx="8">
                  <c:v>0.12008901098901015</c:v>
                </c:pt>
                <c:pt idx="9">
                  <c:v>4.0089010989010188E-2</c:v>
                </c:pt>
                <c:pt idx="10">
                  <c:v>-3.9910989010989883E-2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3B9-4949-8257-0CE9F32FC6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4211944"/>
        <c:axId val="764212336"/>
      </c:scatterChart>
      <c:valAx>
        <c:axId val="764211944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SWI (V/V)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212336"/>
        <c:crosses val="autoZero"/>
        <c:crossBetween val="midCat"/>
        <c:majorUnit val="0.1"/>
        <c:minorUnit val="2.0000000000000004E-2"/>
      </c:valAx>
      <c:valAx>
        <c:axId val="76421233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Sgo (V/V)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2119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53652890846271339"/>
          <c:y val="6.4032163026077712E-2"/>
          <c:w val="0.40938330320420269"/>
          <c:h val="0.176092483744696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26262356650718"/>
          <c:y val="5.0925925925925923E-2"/>
          <c:w val="0.82991802449963403"/>
          <c:h val="0.82977072114811934"/>
        </c:manualLayout>
      </c:layout>
      <c:scatterChart>
        <c:scatterStyle val="lineMarker"/>
        <c:varyColors val="0"/>
        <c:ser>
          <c:idx val="0"/>
          <c:order val="0"/>
          <c:tx>
            <c:v>Literature</c:v>
          </c:tx>
          <c:spPr>
            <a:ln w="28575" cap="rnd">
              <a:noFill/>
              <a:round/>
            </a:ln>
            <a:effectLst/>
          </c:spPr>
          <c:marker>
            <c:symbol val="plus"/>
            <c:size val="12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'6_Keff_Swirr'!$I$40:$I$72</c:f>
              <c:numCache>
                <c:formatCode>0.0000</c:formatCode>
                <c:ptCount val="33"/>
                <c:pt idx="0">
                  <c:v>2.0110701689740398E-2</c:v>
                </c:pt>
                <c:pt idx="1">
                  <c:v>1.9853924303837402E-2</c:v>
                </c:pt>
                <c:pt idx="2">
                  <c:v>3.02639890509026E-2</c:v>
                </c:pt>
                <c:pt idx="3">
                  <c:v>3.1849502553034398E-2</c:v>
                </c:pt>
                <c:pt idx="4">
                  <c:v>3.1353634784439303E-2</c:v>
                </c:pt>
                <c:pt idx="5">
                  <c:v>6.0406116755277003E-2</c:v>
                </c:pt>
                <c:pt idx="6">
                  <c:v>6.0736168868768502E-2</c:v>
                </c:pt>
                <c:pt idx="7">
                  <c:v>8.0632468284465797E-2</c:v>
                </c:pt>
                <c:pt idx="8">
                  <c:v>7.0516923724798106E-2</c:v>
                </c:pt>
                <c:pt idx="9">
                  <c:v>8.0117334315944505E-2</c:v>
                </c:pt>
                <c:pt idx="10">
                  <c:v>9.0171132284044705E-2</c:v>
                </c:pt>
                <c:pt idx="11">
                  <c:v>0.10014470705900901</c:v>
                </c:pt>
                <c:pt idx="12">
                  <c:v>0.14012396694214799</c:v>
                </c:pt>
                <c:pt idx="13">
                  <c:v>0.149641785545085</c:v>
                </c:pt>
                <c:pt idx="14">
                  <c:v>0.14984076433120999</c:v>
                </c:pt>
                <c:pt idx="15">
                  <c:v>0.14984076433120999</c:v>
                </c:pt>
                <c:pt idx="16">
                  <c:v>0.16222956256251</c:v>
                </c:pt>
                <c:pt idx="17">
                  <c:v>0.19009606780017901</c:v>
                </c:pt>
                <c:pt idx="18">
                  <c:v>0.202103253145233</c:v>
                </c:pt>
                <c:pt idx="19">
                  <c:v>0.21994051692372399</c:v>
                </c:pt>
                <c:pt idx="20">
                  <c:v>0.24006816865820901</c:v>
                </c:pt>
                <c:pt idx="21">
                  <c:v>0.35111728167605399</c:v>
                </c:pt>
                <c:pt idx="22">
                  <c:v>0.36222219297783798</c:v>
                </c:pt>
                <c:pt idx="23">
                  <c:v>0.38443201558140699</c:v>
                </c:pt>
                <c:pt idx="24">
                  <c:v>0.40039532557772201</c:v>
                </c:pt>
                <c:pt idx="25">
                  <c:v>0.41011212296678401</c:v>
                </c:pt>
                <c:pt idx="26">
                  <c:v>0.68079433594778105</c:v>
                </c:pt>
                <c:pt idx="27">
                  <c:v>0.70092198768226499</c:v>
                </c:pt>
                <c:pt idx="28">
                  <c:v>3.9338842975206602E-2</c:v>
                </c:pt>
                <c:pt idx="29">
                  <c:v>0.2</c:v>
                </c:pt>
                <c:pt idx="30">
                  <c:v>0.2</c:v>
                </c:pt>
                <c:pt idx="31">
                  <c:v>0.30016528925619801</c:v>
                </c:pt>
                <c:pt idx="32">
                  <c:v>0.299173553719008</c:v>
                </c:pt>
              </c:numCache>
            </c:numRef>
          </c:xVal>
          <c:yVal>
            <c:numRef>
              <c:f>'6_Keff_Swirr'!$J$40:$J$72</c:f>
              <c:numCache>
                <c:formatCode>0.0000</c:formatCode>
                <c:ptCount val="33"/>
                <c:pt idx="0">
                  <c:v>0.89779337859592601</c:v>
                </c:pt>
                <c:pt idx="1">
                  <c:v>0.77431752024670697</c:v>
                </c:pt>
                <c:pt idx="2">
                  <c:v>0.649359432651061</c:v>
                </c:pt>
                <c:pt idx="3">
                  <c:v>0.90295810877020999</c:v>
                </c:pt>
                <c:pt idx="4">
                  <c:v>0.85773762861342395</c:v>
                </c:pt>
                <c:pt idx="5">
                  <c:v>0.71339588507741303</c:v>
                </c:pt>
                <c:pt idx="6">
                  <c:v>0.64752189772757696</c:v>
                </c:pt>
                <c:pt idx="7">
                  <c:v>0.72278309800602702</c:v>
                </c:pt>
                <c:pt idx="8">
                  <c:v>0.66874732974032403</c:v>
                </c:pt>
                <c:pt idx="9">
                  <c:v>0.61591457618814305</c:v>
                </c:pt>
                <c:pt idx="10">
                  <c:v>0.52895558147042598</c:v>
                </c:pt>
                <c:pt idx="11">
                  <c:v>0.508472263470646</c:v>
                </c:pt>
                <c:pt idx="12">
                  <c:v>0.66824228319451195</c:v>
                </c:pt>
                <c:pt idx="13">
                  <c:v>0.56967941003025302</c:v>
                </c:pt>
                <c:pt idx="14">
                  <c:v>0.47767025967662902</c:v>
                </c:pt>
                <c:pt idx="15">
                  <c:v>0.417974440633676</c:v>
                </c:pt>
                <c:pt idx="16">
                  <c:v>0.57360352008119797</c:v>
                </c:pt>
                <c:pt idx="17">
                  <c:v>0.42830492069439202</c:v>
                </c:pt>
                <c:pt idx="18">
                  <c:v>0.54262093345809403</c:v>
                </c:pt>
                <c:pt idx="19">
                  <c:v>0.45712365262126298</c:v>
                </c:pt>
                <c:pt idx="20">
                  <c:v>0.51798587293810205</c:v>
                </c:pt>
                <c:pt idx="21">
                  <c:v>0.33770210681038698</c:v>
                </c:pt>
                <c:pt idx="22">
                  <c:v>0.25333725686910302</c:v>
                </c:pt>
                <c:pt idx="23">
                  <c:v>0.26339826733775701</c:v>
                </c:pt>
                <c:pt idx="24">
                  <c:v>0.20129822972498099</c:v>
                </c:pt>
                <c:pt idx="25">
                  <c:v>0.51246955922115101</c:v>
                </c:pt>
                <c:pt idx="26">
                  <c:v>0.21831046872448101</c:v>
                </c:pt>
                <c:pt idx="27">
                  <c:v>0.13313326800587899</c:v>
                </c:pt>
                <c:pt idx="28">
                  <c:v>0.65846153846153799</c:v>
                </c:pt>
                <c:pt idx="29">
                  <c:v>0.55846153846153801</c:v>
                </c:pt>
                <c:pt idx="30">
                  <c:v>0.56615384615384601</c:v>
                </c:pt>
                <c:pt idx="31">
                  <c:v>0.45846153846153798</c:v>
                </c:pt>
                <c:pt idx="32">
                  <c:v>0.41230769230769199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105-B58D-D4F71686AA53}"/>
            </c:ext>
          </c:extLst>
        </c:ser>
        <c:ser>
          <c:idx val="1"/>
          <c:order val="1"/>
          <c:tx>
            <c:v>Estimated Sgo - Clean Sand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2"/>
            <c:spPr>
              <a:noFill/>
              <a:ln w="19050">
                <a:solidFill>
                  <a:schemeClr val="tx1"/>
                </a:solidFill>
              </a:ln>
              <a:effectLst/>
            </c:spPr>
          </c:marker>
          <c:xVal>
            <c:numRef>
              <c:f>'6_Keff_Swirr'!$M$12:$M$15</c:f>
              <c:numCache>
                <c:formatCode>0.0000</c:formatCode>
                <c:ptCount val="4"/>
                <c:pt idx="0">
                  <c:v>0.10790000000000001</c:v>
                </c:pt>
                <c:pt idx="1">
                  <c:v>0.13519999999999999</c:v>
                </c:pt>
                <c:pt idx="2">
                  <c:v>0.1157</c:v>
                </c:pt>
                <c:pt idx="3">
                  <c:v>0.17420000000000002</c:v>
                </c:pt>
              </c:numCache>
            </c:numRef>
          </c:xVal>
          <c:yVal>
            <c:numRef>
              <c:f>'6_Keff_Swirr'!$K$12:$K$15</c:f>
              <c:numCache>
                <c:formatCode>0.0000</c:formatCode>
                <c:ptCount val="4"/>
                <c:pt idx="0">
                  <c:v>0.65972628011421186</c:v>
                </c:pt>
                <c:pt idx="1">
                  <c:v>0.64757063760111822</c:v>
                </c:pt>
                <c:pt idx="2">
                  <c:v>0.67728210863076677</c:v>
                </c:pt>
                <c:pt idx="3">
                  <c:v>0.61717537297891556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B4-4105-B58D-D4F71686AA53}"/>
            </c:ext>
          </c:extLst>
        </c:ser>
        <c:ser>
          <c:idx val="3"/>
          <c:order val="2"/>
          <c:tx>
            <c:v>Estimated Sgo - Shaly Sand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2"/>
            <c:spPr>
              <a:noFill/>
              <a:ln w="19050">
                <a:solidFill>
                  <a:srgbClr val="FF0000"/>
                </a:solidFill>
              </a:ln>
              <a:effectLst/>
            </c:spPr>
          </c:marker>
          <c:xVal>
            <c:numRef>
              <c:f>('6_Keff_Swirr'!$M$11,'6_Keff_Swirr'!$M$16:$M$17)</c:f>
              <c:numCache>
                <c:formatCode>0.0000</c:formatCode>
                <c:ptCount val="3"/>
                <c:pt idx="0">
                  <c:v>0.16250000000000001</c:v>
                </c:pt>
                <c:pt idx="1">
                  <c:v>0.1547</c:v>
                </c:pt>
                <c:pt idx="2">
                  <c:v>0.20020000000000002</c:v>
                </c:pt>
              </c:numCache>
            </c:numRef>
          </c:xVal>
          <c:yVal>
            <c:numRef>
              <c:f>('6_Keff_Swirr'!$K$11,'6_Keff_Swirr'!$K$16:$K$17)</c:f>
              <c:numCache>
                <c:formatCode>0.0000</c:formatCode>
                <c:ptCount val="3"/>
                <c:pt idx="0">
                  <c:v>0.35723198744809587</c:v>
                </c:pt>
                <c:pt idx="1">
                  <c:v>0.38372813796757621</c:v>
                </c:pt>
                <c:pt idx="2">
                  <c:v>0.27450000000000002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BB4-4105-B58D-D4F71686AA53}"/>
            </c:ext>
          </c:extLst>
        </c:ser>
        <c:ser>
          <c:idx val="2"/>
          <c:order val="3"/>
          <c:tx>
            <c:v>Regression Model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xVal>
            <c:numRef>
              <c:f>'6_Keff_Swirr'!$L$40:$L$50</c:f>
              <c:numCache>
                <c:formatCode>General</c:formatCode>
                <c:ptCount val="11"/>
                <c:pt idx="0">
                  <c:v>0.01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'6_Keff_Swirr'!$K$40:$K$50</c:f>
              <c:numCache>
                <c:formatCode>0.0000</c:formatCode>
                <c:ptCount val="11"/>
                <c:pt idx="0">
                  <c:v>0.88019599081599365</c:v>
                </c:pt>
                <c:pt idx="1">
                  <c:v>0.65226087668168453</c:v>
                </c:pt>
                <c:pt idx="2">
                  <c:v>0.46752115521929627</c:v>
                </c:pt>
                <c:pt idx="3">
                  <c:v>0.33510522919843083</c:v>
                </c:pt>
                <c:pt idx="4">
                  <c:v>0.24019344019514866</c:v>
                </c:pt>
                <c:pt idx="5">
                  <c:v>0.17216349876360154</c:v>
                </c:pt>
                <c:pt idx="6">
                  <c:v>0.12340166443531082</c:v>
                </c:pt>
                <c:pt idx="7">
                  <c:v>8.8450634976433934E-2</c:v>
                </c:pt>
                <c:pt idx="8">
                  <c:v>6.3398778805253214E-2</c:v>
                </c:pt>
                <c:pt idx="9">
                  <c:v>4.5442354993475459E-2</c:v>
                </c:pt>
                <c:pt idx="10">
                  <c:v>3.2571725611565523E-2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BB4-4105-B58D-D4F71686AA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4213120"/>
        <c:axId val="764213512"/>
      </c:scatterChart>
      <c:valAx>
        <c:axId val="764213120"/>
        <c:scaling>
          <c:orientation val="minMax"/>
          <c:max val="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CBW(V/V)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213512"/>
        <c:crosses val="autoZero"/>
        <c:crossBetween val="midCat"/>
      </c:valAx>
      <c:valAx>
        <c:axId val="76421351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Sgo (V/V)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213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63919335083114615"/>
          <c:y val="9.3170749489647153E-2"/>
          <c:w val="0.32632172911762375"/>
          <c:h val="0.242046733561156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266032</xdr:colOff>
      <xdr:row>22</xdr:row>
      <xdr:rowOff>99852</xdr:rowOff>
    </xdr:from>
    <xdr:ext cx="5508733" cy="217072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 txBox="1"/>
          </xdr:nvSpPr>
          <xdr:spPr>
            <a:xfrm>
              <a:off x="266032" y="3766977"/>
              <a:ext cx="5508733" cy="217072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i="0">
                  <a:latin typeface="Cambria Math" panose="02040503050406030204" pitchFamily="18" charset="0"/>
                </a:rPr>
                <a:t>Agarwal (1967):</a:t>
              </a:r>
              <a:r>
                <a:rPr lang="en-US" sz="1400" i="0" baseline="0">
                  <a:latin typeface="Cambria Math" panose="02040503050406030204" pitchFamily="18" charset="0"/>
                </a:rPr>
                <a:t> 	</a:t>
              </a:r>
              <a14:m>
                <m:oMath xmlns:m="http://schemas.openxmlformats.org/officeDocument/2006/math">
                  <m:r>
                    <a:rPr lang="en-US" sz="14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𝑆𝑔𝑟</m:t>
                  </m:r>
                  <m:r>
                    <a:rPr lang="en-US" sz="14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=0.181300×</m:t>
                  </m:r>
                  <m:sSub>
                    <m:sSubPr>
                      <m:ctrlPr>
                        <a:rPr lang="en-US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𝑆</m:t>
                      </m:r>
                    </m:e>
                    <m:sub>
                      <m:r>
                        <a:rPr lang="en-US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𝑔𝑖</m:t>
                      </m:r>
                    </m:sub>
                  </m:sSub>
                  <m:r>
                    <a:rPr lang="en-US" sz="14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+0.096071</m:t>
                  </m:r>
                </m:oMath>
              </a14:m>
              <a:endParaRPr lang="en-US" sz="1400"/>
            </a:p>
            <a:p>
              <a:endParaRPr lang="en-US" sz="1400"/>
            </a:p>
            <a:p>
              <a:r>
                <a:rPr lang="en-US" sz="1400"/>
                <a:t>Land (1968):		</a:t>
              </a:r>
              <a14:m>
                <m:oMath xmlns:m="http://schemas.openxmlformats.org/officeDocument/2006/math">
                  <m:r>
                    <a:rPr lang="en-US" sz="14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𝑆𝑔𝑟</m:t>
                  </m:r>
                  <m:r>
                    <a:rPr lang="en-US" sz="14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f>
                    <m:fPr>
                      <m:ctrlPr>
                        <a:rPr lang="en-US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en-US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1−</m:t>
                      </m:r>
                      <m:r>
                        <a:rPr lang="en-US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𝑆𝑤𝑖𝑟</m:t>
                      </m:r>
                    </m:num>
                    <m:den>
                      <m:r>
                        <a:rPr lang="en-US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1+</m:t>
                      </m:r>
                      <m:r>
                        <a:rPr lang="en-US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𝐶</m:t>
                      </m:r>
                      <m:r>
                        <a:rPr lang="en-US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(1−</m:t>
                      </m:r>
                      <m:r>
                        <a:rPr lang="en-US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𝑆𝑤𝑖𝑟</m:t>
                      </m:r>
                      <m:r>
                        <a:rPr lang="en-US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)</m:t>
                      </m:r>
                    </m:den>
                  </m:f>
                </m:oMath>
              </a14:m>
              <a:r>
                <a:rPr lang="en-US" sz="1400"/>
                <a:t>; </a:t>
              </a:r>
              <a14:m>
                <m:oMath xmlns:m="http://schemas.openxmlformats.org/officeDocument/2006/math">
                  <m:r>
                    <a:rPr lang="en-US" sz="1400" b="0" i="1">
                      <a:latin typeface="Cambria Math" panose="02040503050406030204" pitchFamily="18" charset="0"/>
                    </a:rPr>
                    <m:t>𝐶</m:t>
                  </m:r>
                  <m:r>
                    <a:rPr lang="en-US" sz="1400" i="1"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en-US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14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𝑆𝑔𝑟</m:t>
                      </m:r>
                    </m:den>
                  </m:f>
                  <m:r>
                    <a:rPr lang="en-US" sz="1400" b="0" i="1">
                      <a:latin typeface="Cambria Math" panose="02040503050406030204" pitchFamily="18" charset="0"/>
                    </a:rPr>
                    <m:t>−</m:t>
                  </m:r>
                  <m:f>
                    <m:fPr>
                      <m:ctrlPr>
                        <a:rPr lang="en-US" sz="14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14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𝑆𝑔𝑖</m:t>
                      </m:r>
                    </m:den>
                  </m:f>
                </m:oMath>
              </a14:m>
              <a:endParaRPr lang="en-US" sz="1400"/>
            </a:p>
            <a:p>
              <a:endParaRPr lang="en-US" sz="140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4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Jerauld</a:t>
              </a:r>
              <a:r>
                <a:rPr lang="en-US" sz="140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(1997):	</a:t>
              </a:r>
              <a14:m>
                <m:oMath xmlns:m="http://schemas.openxmlformats.org/officeDocument/2006/math">
                  <m:r>
                    <a:rPr lang="en-US" sz="1400" b="0" i="1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𝑆𝑔𝑟</m:t>
                  </m:r>
                  <m:r>
                    <a:rPr lang="en-US" sz="1400" i="1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d>
                    <m:dPr>
                      <m:begChr m:val="["/>
                      <m:endChr m:val="]"/>
                      <m:ctrlPr>
                        <a:rPr lang="en-US" sz="140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f>
                        <m:fPr>
                          <m:ctrlPr>
                            <a:rPr lang="en-US" sz="1400" i="1" baseline="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r>
                            <a:rPr lang="en-US" sz="1400" b="0" i="1" baseline="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𝑆𝑔𝑖</m:t>
                          </m:r>
                        </m:num>
                        <m:den>
                          <m:r>
                            <a:rPr lang="en-US" sz="1400" b="0" i="1" baseline="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1+(</m:t>
                          </m:r>
                          <m:f>
                            <m:fPr>
                              <m:type m:val="skw"/>
                              <m:ctrlPr>
                                <a:rPr lang="en-US" sz="1400" b="0" i="1" baseline="0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lang="en-US" sz="1400" b="0" i="1" baseline="0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1</m:t>
                              </m:r>
                            </m:num>
                            <m:den>
                              <m:r>
                                <a:rPr lang="en-US" sz="1400" b="0" i="1" baseline="0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𝑆𝐺𝑅𝑀</m:t>
                              </m:r>
                            </m:den>
                          </m:f>
                          <m:r>
                            <a:rPr lang="en-US" sz="1400" b="0" i="1" baseline="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−1)</m:t>
                          </m:r>
                        </m:den>
                      </m:f>
                    </m:e>
                  </m:d>
                  <m:d>
                    <m:dPr>
                      <m:begChr m:val="["/>
                      <m:endChr m:val="]"/>
                      <m:ctrlPr>
                        <a:rPr lang="en-US" sz="140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sSup>
                        <m:sSupPr>
                          <m:ctrlPr>
                            <a:rPr lang="en-US" sz="1400" i="1" baseline="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r>
                            <a:rPr lang="en-US" sz="1400" b="0" i="1" baseline="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𝑆𝑔𝑖</m:t>
                          </m:r>
                        </m:e>
                        <m:sup>
                          <m:r>
                            <a:rPr lang="en-US" sz="1400" b="0" i="1" baseline="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−</m:t>
                          </m:r>
                          <m:d>
                            <m:dPr>
                              <m:ctrlPr>
                                <a:rPr lang="en-US" sz="1400" b="0" i="1" baseline="0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dPr>
                            <m:e>
                              <m:f>
                                <m:fPr>
                                  <m:type m:val="skw"/>
                                  <m:ctrlPr>
                                    <a:rPr lang="en-US" sz="1100" i="1" baseline="0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fPr>
                                <m:num>
                                  <m:r>
                                    <a:rPr lang="en-US" sz="1100" b="0" i="1" baseline="0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1</m:t>
                                  </m:r>
                                </m:num>
                                <m:den>
                                  <m:r>
                                    <a:rPr lang="en-US" sz="1100" b="0" i="1" baseline="0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(1−</m:t>
                                  </m:r>
                                  <m:r>
                                    <a:rPr lang="en-US" sz="1100" b="0" i="1" baseline="0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𝑆𝑔𝑟𝑀</m:t>
                                  </m:r>
                                  <m:r>
                                    <a:rPr lang="en-US" sz="1100" b="0" i="1" baseline="0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)</m:t>
                                  </m:r>
                                </m:den>
                              </m:f>
                            </m:e>
                          </m:d>
                        </m:sup>
                      </m:sSup>
                    </m:e>
                  </m:d>
                </m:oMath>
              </a14:m>
              <a:endParaRPr lang="en-US" sz="1400">
                <a:effectLst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en-US" sz="1400">
                <a:effectLst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400"/>
                <a:t>Aissaoui (1983)</a:t>
              </a:r>
              <a:r>
                <a:rPr lang="en-US" sz="1400" baseline="0"/>
                <a:t> +</a:t>
              </a:r>
              <a:r>
                <a:rPr lang="en-US" sz="1400"/>
                <a:t>	If</a:t>
              </a:r>
              <a:r>
                <a:rPr lang="en-US" sz="1400" baseline="0"/>
                <a:t> </a:t>
              </a:r>
              <a14:m>
                <m:oMath xmlns:m="http://schemas.openxmlformats.org/officeDocument/2006/math">
                  <m:r>
                    <a:rPr lang="en-US" sz="14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𝑆𝑔𝑖</m:t>
                  </m:r>
                  <m:r>
                    <a:rPr lang="en-US" sz="14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&lt; </m:t>
                  </m:r>
                  <m:r>
                    <a:rPr lang="en-US" sz="14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𝑆𝑔𝑜</m:t>
                  </m:r>
                  <m:r>
                    <a:rPr lang="en-US" sz="14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:</m:t>
                  </m:r>
                  <m:r>
                    <m:rPr>
                      <m:sty m:val="p"/>
                    </m:rPr>
                    <a:rPr lang="en-US" sz="14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Sgr</m:t>
                  </m:r>
                  <m:r>
                    <a:rPr lang="en-US" sz="14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f>
                    <m:fPr>
                      <m:ctrlPr>
                        <a:rPr lang="en-US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en-US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𝑆𝑔𝑟𝑀</m:t>
                      </m:r>
                    </m:num>
                    <m:den>
                      <m:r>
                        <a:rPr lang="en-US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𝑆𝑔𝑜</m:t>
                      </m:r>
                    </m:den>
                  </m:f>
                  <m:r>
                    <a:rPr lang="en-US" sz="14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.</m:t>
                  </m:r>
                  <m:r>
                    <m:rPr>
                      <m:sty m:val="p"/>
                    </m:rPr>
                    <a:rPr lang="en-US" sz="14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Sgi</m:t>
                  </m:r>
                </m:oMath>
              </a14:m>
              <a:r>
                <a:rPr lang="en-US" sz="1400">
                  <a:effectLst/>
                </a:rPr>
                <a:t> else </a:t>
              </a:r>
              <a14:m>
                <m:oMath xmlns:m="http://schemas.openxmlformats.org/officeDocument/2006/math">
                  <m:r>
                    <m:rPr>
                      <m:sty m:val="p"/>
                    </m:rPr>
                    <a:rPr lang="en-US" sz="14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Sgr</m:t>
                  </m:r>
                  <m:r>
                    <a:rPr lang="en-US" sz="14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</m:oMath>
              </a14:m>
              <a:r>
                <a:rPr lang="en-US" sz="1400">
                  <a:effectLst/>
                </a:rPr>
                <a:t> SgrM</a:t>
              </a:r>
            </a:p>
            <a:p>
              <a:r>
                <a:rPr lang="en-US" sz="1400"/>
                <a:t>Suzanna (2003)</a:t>
              </a: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813222C2-2A53-4099-AB32-4B3B8751ABE8}"/>
                </a:ext>
              </a:extLst>
            </xdr:cNvPr>
            <xdr:cNvSpPr txBox="1"/>
          </xdr:nvSpPr>
          <xdr:spPr>
            <a:xfrm>
              <a:off x="266032" y="3766977"/>
              <a:ext cx="5508733" cy="217072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i="0">
                  <a:latin typeface="Cambria Math" panose="02040503050406030204" pitchFamily="18" charset="0"/>
                </a:rPr>
                <a:t>Agarwal (1967):</a:t>
              </a:r>
              <a:r>
                <a:rPr lang="en-US" sz="1400" i="0" baseline="0">
                  <a:latin typeface="Cambria Math" panose="02040503050406030204" pitchFamily="18" charset="0"/>
                </a:rPr>
                <a:t> 	</a:t>
              </a:r>
              <a:r>
                <a:rPr lang="en-US" sz="14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𝑆𝑔𝑟=0.181300×𝑆_𝑔𝑖+0.096071</a:t>
              </a:r>
              <a:endParaRPr lang="en-US" sz="1400"/>
            </a:p>
            <a:p>
              <a:endParaRPr lang="en-US" sz="1400"/>
            </a:p>
            <a:p>
              <a:r>
                <a:rPr lang="en-US" sz="1400"/>
                <a:t>Land (1968):		</a:t>
              </a:r>
              <a:r>
                <a:rPr lang="en-US" sz="14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𝑆𝑔𝑟=(1−𝑆𝑤𝑖𝑟)/(1+𝐶(1−𝑆𝑤𝑖𝑟))</a:t>
              </a:r>
              <a:r>
                <a:rPr lang="en-US" sz="1400"/>
                <a:t>; </a:t>
              </a:r>
              <a:r>
                <a:rPr lang="en-US" sz="1400" b="0" i="0">
                  <a:latin typeface="Cambria Math" panose="02040503050406030204" pitchFamily="18" charset="0"/>
                </a:rPr>
                <a:t>𝐶</a:t>
              </a:r>
              <a:r>
                <a:rPr lang="en-US" sz="1400" i="0">
                  <a:latin typeface="Cambria Math" panose="02040503050406030204" pitchFamily="18" charset="0"/>
                </a:rPr>
                <a:t>=</a:t>
              </a:r>
              <a:r>
                <a:rPr lang="en-US" sz="1400" b="0" i="0">
                  <a:latin typeface="Cambria Math" panose="02040503050406030204" pitchFamily="18" charset="0"/>
                </a:rPr>
                <a:t>1/𝑆𝑔𝑟−1/𝑆𝑔𝑖</a:t>
              </a:r>
              <a:endParaRPr lang="en-US" sz="1400"/>
            </a:p>
            <a:p>
              <a:endParaRPr lang="en-US" sz="140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4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Jerauld</a:t>
              </a:r>
              <a:r>
                <a:rPr lang="en-US" sz="140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(1997):	</a:t>
              </a:r>
              <a:r>
                <a:rPr lang="en-US" sz="14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𝑆𝑔𝑟</a:t>
              </a:r>
              <a:r>
                <a:rPr lang="en-US" sz="140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=[</a:t>
              </a:r>
              <a:r>
                <a:rPr lang="en-US" sz="14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𝑆𝑔𝑖/(1+(1⁄𝑆𝐺𝑅𝑀−1))]</a:t>
              </a:r>
              <a:r>
                <a:rPr lang="en-US" sz="140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[〖</a:t>
              </a:r>
              <a:r>
                <a:rPr lang="en-US" sz="14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𝑆𝑔𝑖〗^(−(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1⁄((1−𝑆𝑔𝑟𝑀))) </a:t>
              </a:r>
              <a:r>
                <a:rPr lang="en-US" sz="14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]</a:t>
              </a:r>
              <a:endParaRPr lang="en-US" sz="1400">
                <a:effectLst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en-US" sz="1400">
                <a:effectLst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400"/>
                <a:t>Aissaoui (1983)</a:t>
              </a:r>
              <a:r>
                <a:rPr lang="en-US" sz="1400" baseline="0"/>
                <a:t> +</a:t>
              </a:r>
              <a:r>
                <a:rPr lang="en-US" sz="1400"/>
                <a:t>	If</a:t>
              </a:r>
              <a:r>
                <a:rPr lang="en-US" sz="1400" baseline="0"/>
                <a:t> 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𝑆𝑔𝑖&lt; 𝑆𝑔𝑜:Sgr=𝑆𝑔𝑟𝑀/𝑆𝑔𝑜  .Sgi</a:t>
              </a:r>
              <a:r>
                <a:rPr lang="en-US" sz="1400">
                  <a:effectLst/>
                </a:rPr>
                <a:t> else 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Sgr=</a:t>
              </a:r>
              <a:r>
                <a:rPr lang="en-US" sz="1400">
                  <a:effectLst/>
                </a:rPr>
                <a:t> SgrM</a:t>
              </a:r>
            </a:p>
            <a:p>
              <a:r>
                <a:rPr lang="en-US" sz="1400"/>
                <a:t>Suzanna (2003)</a:t>
              </a:r>
            </a:p>
          </xdr:txBody>
        </xdr:sp>
      </mc:Fallback>
    </mc:AlternateContent>
    <xdr:clientData/>
  </xdr:oneCellAnchor>
  <xdr:oneCellAnchor>
    <xdr:from>
      <xdr:col>9</xdr:col>
      <xdr:colOff>360530</xdr:colOff>
      <xdr:row>22</xdr:row>
      <xdr:rowOff>142389</xdr:rowOff>
    </xdr:from>
    <xdr:ext cx="5016823" cy="95346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7247105" y="3809514"/>
          <a:ext cx="5016823" cy="953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Analysis</a:t>
          </a:r>
        </a:p>
        <a:p>
          <a:r>
            <a:rPr lang="en-US" sz="1100"/>
            <a:t>1) Assume</a:t>
          </a:r>
          <a:r>
            <a:rPr lang="en-US" sz="1100" baseline="0"/>
            <a:t> that Sgi = 1-Swi</a:t>
          </a:r>
        </a:p>
        <a:p>
          <a:r>
            <a:rPr lang="en-US" sz="1100" baseline="0"/>
            <a:t>2) Develop regression for Swir vs Sgo, estimate Sgo</a:t>
          </a:r>
        </a:p>
        <a:p>
          <a:r>
            <a:rPr lang="en-US" sz="1100" baseline="0"/>
            <a:t>3) Plot estimate of Sgo against CBW vs Sgo to get estimate of microposity in samples</a:t>
          </a:r>
        </a:p>
        <a:p>
          <a:r>
            <a:rPr lang="en-US" sz="1100" baseline="0"/>
            <a:t>3) Use Aissaoui piece-wise to interpret Sgr</a:t>
          </a:r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34</xdr:row>
          <xdr:rowOff>19050</xdr:rowOff>
        </xdr:from>
        <xdr:to>
          <xdr:col>15</xdr:col>
          <xdr:colOff>666750</xdr:colOff>
          <xdr:row>35</xdr:row>
          <xdr:rowOff>47625</xdr:rowOff>
        </xdr:to>
        <xdr:sp macro="" textlink="">
          <xdr:nvSpPr>
            <xdr:cNvPr id="1025" name="Spin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34</xdr:row>
          <xdr:rowOff>19050</xdr:rowOff>
        </xdr:from>
        <xdr:to>
          <xdr:col>16</xdr:col>
          <xdr:colOff>704850</xdr:colOff>
          <xdr:row>35</xdr:row>
          <xdr:rowOff>47625</xdr:rowOff>
        </xdr:to>
        <xdr:sp macro="" textlink="">
          <xdr:nvSpPr>
            <xdr:cNvPr id="1026" name="Spin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180975</xdr:colOff>
          <xdr:row>34</xdr:row>
          <xdr:rowOff>19050</xdr:rowOff>
        </xdr:from>
        <xdr:to>
          <xdr:col>10</xdr:col>
          <xdr:colOff>828675</xdr:colOff>
          <xdr:row>35</xdr:row>
          <xdr:rowOff>47625</xdr:rowOff>
        </xdr:to>
        <xdr:sp macro="" textlink="">
          <xdr:nvSpPr>
            <xdr:cNvPr id="1027" name="Spin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180975</xdr:colOff>
          <xdr:row>34</xdr:row>
          <xdr:rowOff>19050</xdr:rowOff>
        </xdr:from>
        <xdr:to>
          <xdr:col>12</xdr:col>
          <xdr:colOff>66675</xdr:colOff>
          <xdr:row>35</xdr:row>
          <xdr:rowOff>47625</xdr:rowOff>
        </xdr:to>
        <xdr:sp macro="" textlink="">
          <xdr:nvSpPr>
            <xdr:cNvPr id="1028" name="Spin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47625</xdr:colOff>
          <xdr:row>34</xdr:row>
          <xdr:rowOff>19050</xdr:rowOff>
        </xdr:from>
        <xdr:to>
          <xdr:col>19</xdr:col>
          <xdr:colOff>123825</xdr:colOff>
          <xdr:row>35</xdr:row>
          <xdr:rowOff>47625</xdr:rowOff>
        </xdr:to>
        <xdr:sp macro="" textlink="">
          <xdr:nvSpPr>
            <xdr:cNvPr id="1029" name="Spin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34</xdr:row>
          <xdr:rowOff>19050</xdr:rowOff>
        </xdr:from>
        <xdr:to>
          <xdr:col>25</xdr:col>
          <xdr:colOff>123825</xdr:colOff>
          <xdr:row>35</xdr:row>
          <xdr:rowOff>47625</xdr:rowOff>
        </xdr:to>
        <xdr:sp macro="" textlink="">
          <xdr:nvSpPr>
            <xdr:cNvPr id="1030" name="Spin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30</xdr:col>
      <xdr:colOff>95249</xdr:colOff>
      <xdr:row>44</xdr:row>
      <xdr:rowOff>95249</xdr:rowOff>
    </xdr:from>
    <xdr:ext cx="1600201" cy="1125693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0383499" y="7486649"/>
          <a:ext cx="1600201" cy="11256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SG" sz="1100" b="1" i="0" u="sng">
              <a:solidFill>
                <a:schemeClr val="tx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Using Resistivity Data to Study the Waterflooding Process: A Case Study in Tight Sandstone Reservoirs of Ordos Basin, China</a:t>
          </a:r>
          <a:endParaRPr lang="en-SG" sz="1100"/>
        </a:p>
      </xdr:txBody>
    </xdr:sp>
    <xdr:clientData/>
  </xdr:oneCellAnchor>
  <xdr:twoCellAnchor editAs="oneCell">
    <xdr:from>
      <xdr:col>35</xdr:col>
      <xdr:colOff>552450</xdr:colOff>
      <xdr:row>8</xdr:row>
      <xdr:rowOff>85725</xdr:rowOff>
    </xdr:from>
    <xdr:to>
      <xdr:col>43</xdr:col>
      <xdr:colOff>510197</xdr:colOff>
      <xdr:row>27</xdr:row>
      <xdr:rowOff>26171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1466850"/>
          <a:ext cx="4834547" cy="303607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298</xdr:colOff>
      <xdr:row>27</xdr:row>
      <xdr:rowOff>36008</xdr:rowOff>
    </xdr:from>
    <xdr:to>
      <xdr:col>15</xdr:col>
      <xdr:colOff>222648</xdr:colOff>
      <xdr:row>62</xdr:row>
      <xdr:rowOff>46508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111424</xdr:colOff>
      <xdr:row>29</xdr:row>
      <xdr:rowOff>20468</xdr:rowOff>
    </xdr:from>
    <xdr:to>
      <xdr:col>33</xdr:col>
      <xdr:colOff>333375</xdr:colOff>
      <xdr:row>64</xdr:row>
      <xdr:rowOff>31749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</xdr:row>
      <xdr:rowOff>0</xdr:rowOff>
    </xdr:from>
    <xdr:to>
      <xdr:col>13</xdr:col>
      <xdr:colOff>138729</xdr:colOff>
      <xdr:row>26</xdr:row>
      <xdr:rowOff>127149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218739</xdr:colOff>
      <xdr:row>1</xdr:row>
      <xdr:rowOff>0</xdr:rowOff>
    </xdr:from>
    <xdr:to>
      <xdr:col>25</xdr:col>
      <xdr:colOff>357468</xdr:colOff>
      <xdr:row>26</xdr:row>
      <xdr:rowOff>150009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0.01225</cdr:x>
      <cdr:y>0.94353</cdr:y>
    </cdr:from>
    <cdr:to>
      <cdr:x>0.97308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91217" y="6116170"/>
          <a:ext cx="7154637" cy="3660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Figure Extracted</a:t>
          </a:r>
          <a:r>
            <a:rPr lang="en-US" sz="1100" baseline="0"/>
            <a:t> from SPE 84038, "</a:t>
          </a:r>
          <a:r>
            <a:rPr lang="en-US" sz="1100" b="0" i="0">
              <a:effectLst/>
              <a:latin typeface="+mn-lt"/>
              <a:ea typeface="+mn-ea"/>
              <a:cs typeface="+mn-cs"/>
            </a:rPr>
            <a:t>Experimental relationships ..."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kumar/Desktop/Pyi_Thit_1ST1_SCA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lap-dc3\rocks\01Report\CoreLabIndo\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tents"/>
      <sheetName val="0_Summary"/>
      <sheetName val="1_NCS_&amp;_LPSA"/>
      <sheetName val="2_PVT_analysis"/>
      <sheetName val="3_Poro_K"/>
      <sheetName val="4_QV_CEC"/>
      <sheetName val="5_FF_RI"/>
      <sheetName val="5a_Archie_Uncertainty"/>
      <sheetName val="5b_Waxman_Smits_Uncertainty"/>
      <sheetName val="6_Keff_Swirr"/>
      <sheetName val="6a_Keff_QC_Plots"/>
      <sheetName val="6b_SgrM_Plots"/>
      <sheetName val="6c_Interp_Corey"/>
      <sheetName val="7a_Cal_GWC"/>
      <sheetName val="7b_Pc_Data_QC"/>
      <sheetName val="7c_Plug_4_Pc"/>
      <sheetName val="7d_Leverett_J"/>
      <sheetName val="7e_Inputs_SH"/>
      <sheetName val="7f_Pc_Data_SH_vs_Ori"/>
      <sheetName val="7f_Final_SH_Mode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3">
          <cell r="G3">
            <v>1</v>
          </cell>
          <cell r="H3">
            <v>2</v>
          </cell>
          <cell r="I3">
            <v>2</v>
          </cell>
          <cell r="J3">
            <v>0.1948</v>
          </cell>
        </row>
      </sheetData>
      <sheetData sheetId="8"/>
      <sheetData sheetId="9">
        <row r="11">
          <cell r="E11">
            <v>0.20599520372727181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"/>
    </sheetNames>
    <definedNames>
      <definedName name="kphia"/>
      <definedName name="kphiall"/>
      <definedName name="kphib"/>
      <definedName name="kphic"/>
    </defined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26BFD-030A-4327-9C5C-7F6812E39067}">
  <sheetPr codeName="Sheet4">
    <pageSetUpPr fitToPage="1"/>
  </sheetPr>
  <dimension ref="A1:AV443"/>
  <sheetViews>
    <sheetView showGridLines="0" topLeftCell="S24" zoomScaleNormal="100" workbookViewId="0">
      <selection activeCell="AG56" sqref="AG56"/>
    </sheetView>
  </sheetViews>
  <sheetFormatPr defaultRowHeight="12.75" x14ac:dyDescent="0.2"/>
  <cols>
    <col min="1" max="1" width="13.42578125" style="2" bestFit="1" customWidth="1"/>
    <col min="2" max="2" width="7.5703125" style="2" bestFit="1" customWidth="1"/>
    <col min="3" max="3" width="13" style="2" customWidth="1"/>
    <col min="4" max="4" width="11.42578125" style="2" customWidth="1"/>
    <col min="5" max="5" width="8.28515625" style="2" bestFit="1" customWidth="1"/>
    <col min="6" max="6" width="16" style="2" bestFit="1" customWidth="1"/>
    <col min="7" max="7" width="7.7109375" style="3" bestFit="1" customWidth="1"/>
    <col min="8" max="8" width="12.7109375" style="3" bestFit="1" customWidth="1"/>
    <col min="9" max="9" width="13.140625" style="3" bestFit="1" customWidth="1"/>
    <col min="10" max="10" width="7" style="3" bestFit="1" customWidth="1"/>
    <col min="11" max="11" width="12.7109375" style="2" bestFit="1" customWidth="1"/>
    <col min="12" max="12" width="11.42578125" style="2" bestFit="1" customWidth="1"/>
    <col min="13" max="13" width="10.7109375" style="2" bestFit="1" customWidth="1"/>
    <col min="14" max="14" width="11.7109375" style="2" bestFit="1" customWidth="1"/>
    <col min="15" max="15" width="11.7109375" style="2" customWidth="1"/>
    <col min="16" max="16" width="10.5703125" style="2" customWidth="1"/>
    <col min="17" max="17" width="12.7109375" style="2" bestFit="1" customWidth="1"/>
    <col min="18" max="19" width="9.140625" style="2"/>
    <col min="20" max="20" width="7" style="2" bestFit="1" customWidth="1"/>
    <col min="21" max="21" width="9.140625" style="2"/>
    <col min="22" max="22" width="6.7109375" style="2" bestFit="1" customWidth="1"/>
    <col min="23" max="23" width="7.28515625" style="2" bestFit="1" customWidth="1"/>
    <col min="24" max="42" width="9.140625" style="2"/>
    <col min="43" max="45" width="9.140625" style="21"/>
    <col min="46" max="274" width="9.140625" style="2"/>
    <col min="275" max="275" width="10.85546875" style="2" customWidth="1"/>
    <col min="276" max="276" width="11.28515625" style="2" customWidth="1"/>
    <col min="277" max="278" width="13.85546875" style="2" customWidth="1"/>
    <col min="279" max="279" width="10.42578125" style="2" customWidth="1"/>
    <col min="280" max="280" width="11.140625" style="2" customWidth="1"/>
    <col min="281" max="281" width="9.7109375" style="2" customWidth="1"/>
    <col min="282" max="282" width="15.28515625" style="2" customWidth="1"/>
    <col min="283" max="283" width="9.7109375" style="2" bestFit="1" customWidth="1"/>
    <col min="284" max="530" width="9.140625" style="2"/>
    <col min="531" max="531" width="10.85546875" style="2" customWidth="1"/>
    <col min="532" max="532" width="11.28515625" style="2" customWidth="1"/>
    <col min="533" max="534" width="13.85546875" style="2" customWidth="1"/>
    <col min="535" max="535" width="10.42578125" style="2" customWidth="1"/>
    <col min="536" max="536" width="11.140625" style="2" customWidth="1"/>
    <col min="537" max="537" width="9.7109375" style="2" customWidth="1"/>
    <col min="538" max="538" width="15.28515625" style="2" customWidth="1"/>
    <col min="539" max="539" width="9.7109375" style="2" bestFit="1" customWidth="1"/>
    <col min="540" max="786" width="9.140625" style="2"/>
    <col min="787" max="787" width="10.85546875" style="2" customWidth="1"/>
    <col min="788" max="788" width="11.28515625" style="2" customWidth="1"/>
    <col min="789" max="790" width="13.85546875" style="2" customWidth="1"/>
    <col min="791" max="791" width="10.42578125" style="2" customWidth="1"/>
    <col min="792" max="792" width="11.140625" style="2" customWidth="1"/>
    <col min="793" max="793" width="9.7109375" style="2" customWidth="1"/>
    <col min="794" max="794" width="15.28515625" style="2" customWidth="1"/>
    <col min="795" max="795" width="9.7109375" style="2" bestFit="1" customWidth="1"/>
    <col min="796" max="1042" width="9.140625" style="2"/>
    <col min="1043" max="1043" width="10.85546875" style="2" customWidth="1"/>
    <col min="1044" max="1044" width="11.28515625" style="2" customWidth="1"/>
    <col min="1045" max="1046" width="13.85546875" style="2" customWidth="1"/>
    <col min="1047" max="1047" width="10.42578125" style="2" customWidth="1"/>
    <col min="1048" max="1048" width="11.140625" style="2" customWidth="1"/>
    <col min="1049" max="1049" width="9.7109375" style="2" customWidth="1"/>
    <col min="1050" max="1050" width="15.28515625" style="2" customWidth="1"/>
    <col min="1051" max="1051" width="9.7109375" style="2" bestFit="1" customWidth="1"/>
    <col min="1052" max="1298" width="9.140625" style="2"/>
    <col min="1299" max="1299" width="10.85546875" style="2" customWidth="1"/>
    <col min="1300" max="1300" width="11.28515625" style="2" customWidth="1"/>
    <col min="1301" max="1302" width="13.85546875" style="2" customWidth="1"/>
    <col min="1303" max="1303" width="10.42578125" style="2" customWidth="1"/>
    <col min="1304" max="1304" width="11.140625" style="2" customWidth="1"/>
    <col min="1305" max="1305" width="9.7109375" style="2" customWidth="1"/>
    <col min="1306" max="1306" width="15.28515625" style="2" customWidth="1"/>
    <col min="1307" max="1307" width="9.7109375" style="2" bestFit="1" customWidth="1"/>
    <col min="1308" max="1554" width="9.140625" style="2"/>
    <col min="1555" max="1555" width="10.85546875" style="2" customWidth="1"/>
    <col min="1556" max="1556" width="11.28515625" style="2" customWidth="1"/>
    <col min="1557" max="1558" width="13.85546875" style="2" customWidth="1"/>
    <col min="1559" max="1559" width="10.42578125" style="2" customWidth="1"/>
    <col min="1560" max="1560" width="11.140625" style="2" customWidth="1"/>
    <col min="1561" max="1561" width="9.7109375" style="2" customWidth="1"/>
    <col min="1562" max="1562" width="15.28515625" style="2" customWidth="1"/>
    <col min="1563" max="1563" width="9.7109375" style="2" bestFit="1" customWidth="1"/>
    <col min="1564" max="1810" width="9.140625" style="2"/>
    <col min="1811" max="1811" width="10.85546875" style="2" customWidth="1"/>
    <col min="1812" max="1812" width="11.28515625" style="2" customWidth="1"/>
    <col min="1813" max="1814" width="13.85546875" style="2" customWidth="1"/>
    <col min="1815" max="1815" width="10.42578125" style="2" customWidth="1"/>
    <col min="1816" max="1816" width="11.140625" style="2" customWidth="1"/>
    <col min="1817" max="1817" width="9.7109375" style="2" customWidth="1"/>
    <col min="1818" max="1818" width="15.28515625" style="2" customWidth="1"/>
    <col min="1819" max="1819" width="9.7109375" style="2" bestFit="1" customWidth="1"/>
    <col min="1820" max="2066" width="9.140625" style="2"/>
    <col min="2067" max="2067" width="10.85546875" style="2" customWidth="1"/>
    <col min="2068" max="2068" width="11.28515625" style="2" customWidth="1"/>
    <col min="2069" max="2070" width="13.85546875" style="2" customWidth="1"/>
    <col min="2071" max="2071" width="10.42578125" style="2" customWidth="1"/>
    <col min="2072" max="2072" width="11.140625" style="2" customWidth="1"/>
    <col min="2073" max="2073" width="9.7109375" style="2" customWidth="1"/>
    <col min="2074" max="2074" width="15.28515625" style="2" customWidth="1"/>
    <col min="2075" max="2075" width="9.7109375" style="2" bestFit="1" customWidth="1"/>
    <col min="2076" max="2322" width="9.140625" style="2"/>
    <col min="2323" max="2323" width="10.85546875" style="2" customWidth="1"/>
    <col min="2324" max="2324" width="11.28515625" style="2" customWidth="1"/>
    <col min="2325" max="2326" width="13.85546875" style="2" customWidth="1"/>
    <col min="2327" max="2327" width="10.42578125" style="2" customWidth="1"/>
    <col min="2328" max="2328" width="11.140625" style="2" customWidth="1"/>
    <col min="2329" max="2329" width="9.7109375" style="2" customWidth="1"/>
    <col min="2330" max="2330" width="15.28515625" style="2" customWidth="1"/>
    <col min="2331" max="2331" width="9.7109375" style="2" bestFit="1" customWidth="1"/>
    <col min="2332" max="2578" width="9.140625" style="2"/>
    <col min="2579" max="2579" width="10.85546875" style="2" customWidth="1"/>
    <col min="2580" max="2580" width="11.28515625" style="2" customWidth="1"/>
    <col min="2581" max="2582" width="13.85546875" style="2" customWidth="1"/>
    <col min="2583" max="2583" width="10.42578125" style="2" customWidth="1"/>
    <col min="2584" max="2584" width="11.140625" style="2" customWidth="1"/>
    <col min="2585" max="2585" width="9.7109375" style="2" customWidth="1"/>
    <col min="2586" max="2586" width="15.28515625" style="2" customWidth="1"/>
    <col min="2587" max="2587" width="9.7109375" style="2" bestFit="1" customWidth="1"/>
    <col min="2588" max="2834" width="9.140625" style="2"/>
    <col min="2835" max="2835" width="10.85546875" style="2" customWidth="1"/>
    <col min="2836" max="2836" width="11.28515625" style="2" customWidth="1"/>
    <col min="2837" max="2838" width="13.85546875" style="2" customWidth="1"/>
    <col min="2839" max="2839" width="10.42578125" style="2" customWidth="1"/>
    <col min="2840" max="2840" width="11.140625" style="2" customWidth="1"/>
    <col min="2841" max="2841" width="9.7109375" style="2" customWidth="1"/>
    <col min="2842" max="2842" width="15.28515625" style="2" customWidth="1"/>
    <col min="2843" max="2843" width="9.7109375" style="2" bestFit="1" customWidth="1"/>
    <col min="2844" max="3090" width="9.140625" style="2"/>
    <col min="3091" max="3091" width="10.85546875" style="2" customWidth="1"/>
    <col min="3092" max="3092" width="11.28515625" style="2" customWidth="1"/>
    <col min="3093" max="3094" width="13.85546875" style="2" customWidth="1"/>
    <col min="3095" max="3095" width="10.42578125" style="2" customWidth="1"/>
    <col min="3096" max="3096" width="11.140625" style="2" customWidth="1"/>
    <col min="3097" max="3097" width="9.7109375" style="2" customWidth="1"/>
    <col min="3098" max="3098" width="15.28515625" style="2" customWidth="1"/>
    <col min="3099" max="3099" width="9.7109375" style="2" bestFit="1" customWidth="1"/>
    <col min="3100" max="3346" width="9.140625" style="2"/>
    <col min="3347" max="3347" width="10.85546875" style="2" customWidth="1"/>
    <col min="3348" max="3348" width="11.28515625" style="2" customWidth="1"/>
    <col min="3349" max="3350" width="13.85546875" style="2" customWidth="1"/>
    <col min="3351" max="3351" width="10.42578125" style="2" customWidth="1"/>
    <col min="3352" max="3352" width="11.140625" style="2" customWidth="1"/>
    <col min="3353" max="3353" width="9.7109375" style="2" customWidth="1"/>
    <col min="3354" max="3354" width="15.28515625" style="2" customWidth="1"/>
    <col min="3355" max="3355" width="9.7109375" style="2" bestFit="1" customWidth="1"/>
    <col min="3356" max="3602" width="9.140625" style="2"/>
    <col min="3603" max="3603" width="10.85546875" style="2" customWidth="1"/>
    <col min="3604" max="3604" width="11.28515625" style="2" customWidth="1"/>
    <col min="3605" max="3606" width="13.85546875" style="2" customWidth="1"/>
    <col min="3607" max="3607" width="10.42578125" style="2" customWidth="1"/>
    <col min="3608" max="3608" width="11.140625" style="2" customWidth="1"/>
    <col min="3609" max="3609" width="9.7109375" style="2" customWidth="1"/>
    <col min="3610" max="3610" width="15.28515625" style="2" customWidth="1"/>
    <col min="3611" max="3611" width="9.7109375" style="2" bestFit="1" customWidth="1"/>
    <col min="3612" max="3858" width="9.140625" style="2"/>
    <col min="3859" max="3859" width="10.85546875" style="2" customWidth="1"/>
    <col min="3860" max="3860" width="11.28515625" style="2" customWidth="1"/>
    <col min="3861" max="3862" width="13.85546875" style="2" customWidth="1"/>
    <col min="3863" max="3863" width="10.42578125" style="2" customWidth="1"/>
    <col min="3864" max="3864" width="11.140625" style="2" customWidth="1"/>
    <col min="3865" max="3865" width="9.7109375" style="2" customWidth="1"/>
    <col min="3866" max="3866" width="15.28515625" style="2" customWidth="1"/>
    <col min="3867" max="3867" width="9.7109375" style="2" bestFit="1" customWidth="1"/>
    <col min="3868" max="4114" width="9.140625" style="2"/>
    <col min="4115" max="4115" width="10.85546875" style="2" customWidth="1"/>
    <col min="4116" max="4116" width="11.28515625" style="2" customWidth="1"/>
    <col min="4117" max="4118" width="13.85546875" style="2" customWidth="1"/>
    <col min="4119" max="4119" width="10.42578125" style="2" customWidth="1"/>
    <col min="4120" max="4120" width="11.140625" style="2" customWidth="1"/>
    <col min="4121" max="4121" width="9.7109375" style="2" customWidth="1"/>
    <col min="4122" max="4122" width="15.28515625" style="2" customWidth="1"/>
    <col min="4123" max="4123" width="9.7109375" style="2" bestFit="1" customWidth="1"/>
    <col min="4124" max="4370" width="9.140625" style="2"/>
    <col min="4371" max="4371" width="10.85546875" style="2" customWidth="1"/>
    <col min="4372" max="4372" width="11.28515625" style="2" customWidth="1"/>
    <col min="4373" max="4374" width="13.85546875" style="2" customWidth="1"/>
    <col min="4375" max="4375" width="10.42578125" style="2" customWidth="1"/>
    <col min="4376" max="4376" width="11.140625" style="2" customWidth="1"/>
    <col min="4377" max="4377" width="9.7109375" style="2" customWidth="1"/>
    <col min="4378" max="4378" width="15.28515625" style="2" customWidth="1"/>
    <col min="4379" max="4379" width="9.7109375" style="2" bestFit="1" customWidth="1"/>
    <col min="4380" max="4626" width="9.140625" style="2"/>
    <col min="4627" max="4627" width="10.85546875" style="2" customWidth="1"/>
    <col min="4628" max="4628" width="11.28515625" style="2" customWidth="1"/>
    <col min="4629" max="4630" width="13.85546875" style="2" customWidth="1"/>
    <col min="4631" max="4631" width="10.42578125" style="2" customWidth="1"/>
    <col min="4632" max="4632" width="11.140625" style="2" customWidth="1"/>
    <col min="4633" max="4633" width="9.7109375" style="2" customWidth="1"/>
    <col min="4634" max="4634" width="15.28515625" style="2" customWidth="1"/>
    <col min="4635" max="4635" width="9.7109375" style="2" bestFit="1" customWidth="1"/>
    <col min="4636" max="4882" width="9.140625" style="2"/>
    <col min="4883" max="4883" width="10.85546875" style="2" customWidth="1"/>
    <col min="4884" max="4884" width="11.28515625" style="2" customWidth="1"/>
    <col min="4885" max="4886" width="13.85546875" style="2" customWidth="1"/>
    <col min="4887" max="4887" width="10.42578125" style="2" customWidth="1"/>
    <col min="4888" max="4888" width="11.140625" style="2" customWidth="1"/>
    <col min="4889" max="4889" width="9.7109375" style="2" customWidth="1"/>
    <col min="4890" max="4890" width="15.28515625" style="2" customWidth="1"/>
    <col min="4891" max="4891" width="9.7109375" style="2" bestFit="1" customWidth="1"/>
    <col min="4892" max="5138" width="9.140625" style="2"/>
    <col min="5139" max="5139" width="10.85546875" style="2" customWidth="1"/>
    <col min="5140" max="5140" width="11.28515625" style="2" customWidth="1"/>
    <col min="5141" max="5142" width="13.85546875" style="2" customWidth="1"/>
    <col min="5143" max="5143" width="10.42578125" style="2" customWidth="1"/>
    <col min="5144" max="5144" width="11.140625" style="2" customWidth="1"/>
    <col min="5145" max="5145" width="9.7109375" style="2" customWidth="1"/>
    <col min="5146" max="5146" width="15.28515625" style="2" customWidth="1"/>
    <col min="5147" max="5147" width="9.7109375" style="2" bestFit="1" customWidth="1"/>
    <col min="5148" max="5394" width="9.140625" style="2"/>
    <col min="5395" max="5395" width="10.85546875" style="2" customWidth="1"/>
    <col min="5396" max="5396" width="11.28515625" style="2" customWidth="1"/>
    <col min="5397" max="5398" width="13.85546875" style="2" customWidth="1"/>
    <col min="5399" max="5399" width="10.42578125" style="2" customWidth="1"/>
    <col min="5400" max="5400" width="11.140625" style="2" customWidth="1"/>
    <col min="5401" max="5401" width="9.7109375" style="2" customWidth="1"/>
    <col min="5402" max="5402" width="15.28515625" style="2" customWidth="1"/>
    <col min="5403" max="5403" width="9.7109375" style="2" bestFit="1" customWidth="1"/>
    <col min="5404" max="5650" width="9.140625" style="2"/>
    <col min="5651" max="5651" width="10.85546875" style="2" customWidth="1"/>
    <col min="5652" max="5652" width="11.28515625" style="2" customWidth="1"/>
    <col min="5653" max="5654" width="13.85546875" style="2" customWidth="1"/>
    <col min="5655" max="5655" width="10.42578125" style="2" customWidth="1"/>
    <col min="5656" max="5656" width="11.140625" style="2" customWidth="1"/>
    <col min="5657" max="5657" width="9.7109375" style="2" customWidth="1"/>
    <col min="5658" max="5658" width="15.28515625" style="2" customWidth="1"/>
    <col min="5659" max="5659" width="9.7109375" style="2" bestFit="1" customWidth="1"/>
    <col min="5660" max="5906" width="9.140625" style="2"/>
    <col min="5907" max="5907" width="10.85546875" style="2" customWidth="1"/>
    <col min="5908" max="5908" width="11.28515625" style="2" customWidth="1"/>
    <col min="5909" max="5910" width="13.85546875" style="2" customWidth="1"/>
    <col min="5911" max="5911" width="10.42578125" style="2" customWidth="1"/>
    <col min="5912" max="5912" width="11.140625" style="2" customWidth="1"/>
    <col min="5913" max="5913" width="9.7109375" style="2" customWidth="1"/>
    <col min="5914" max="5914" width="15.28515625" style="2" customWidth="1"/>
    <col min="5915" max="5915" width="9.7109375" style="2" bestFit="1" customWidth="1"/>
    <col min="5916" max="6162" width="9.140625" style="2"/>
    <col min="6163" max="6163" width="10.85546875" style="2" customWidth="1"/>
    <col min="6164" max="6164" width="11.28515625" style="2" customWidth="1"/>
    <col min="6165" max="6166" width="13.85546875" style="2" customWidth="1"/>
    <col min="6167" max="6167" width="10.42578125" style="2" customWidth="1"/>
    <col min="6168" max="6168" width="11.140625" style="2" customWidth="1"/>
    <col min="6169" max="6169" width="9.7109375" style="2" customWidth="1"/>
    <col min="6170" max="6170" width="15.28515625" style="2" customWidth="1"/>
    <col min="6171" max="6171" width="9.7109375" style="2" bestFit="1" customWidth="1"/>
    <col min="6172" max="6418" width="9.140625" style="2"/>
    <col min="6419" max="6419" width="10.85546875" style="2" customWidth="1"/>
    <col min="6420" max="6420" width="11.28515625" style="2" customWidth="1"/>
    <col min="6421" max="6422" width="13.85546875" style="2" customWidth="1"/>
    <col min="6423" max="6423" width="10.42578125" style="2" customWidth="1"/>
    <col min="6424" max="6424" width="11.140625" style="2" customWidth="1"/>
    <col min="6425" max="6425" width="9.7109375" style="2" customWidth="1"/>
    <col min="6426" max="6426" width="15.28515625" style="2" customWidth="1"/>
    <col min="6427" max="6427" width="9.7109375" style="2" bestFit="1" customWidth="1"/>
    <col min="6428" max="6674" width="9.140625" style="2"/>
    <col min="6675" max="6675" width="10.85546875" style="2" customWidth="1"/>
    <col min="6676" max="6676" width="11.28515625" style="2" customWidth="1"/>
    <col min="6677" max="6678" width="13.85546875" style="2" customWidth="1"/>
    <col min="6679" max="6679" width="10.42578125" style="2" customWidth="1"/>
    <col min="6680" max="6680" width="11.140625" style="2" customWidth="1"/>
    <col min="6681" max="6681" width="9.7109375" style="2" customWidth="1"/>
    <col min="6682" max="6682" width="15.28515625" style="2" customWidth="1"/>
    <col min="6683" max="6683" width="9.7109375" style="2" bestFit="1" customWidth="1"/>
    <col min="6684" max="6930" width="9.140625" style="2"/>
    <col min="6931" max="6931" width="10.85546875" style="2" customWidth="1"/>
    <col min="6932" max="6932" width="11.28515625" style="2" customWidth="1"/>
    <col min="6933" max="6934" width="13.85546875" style="2" customWidth="1"/>
    <col min="6935" max="6935" width="10.42578125" style="2" customWidth="1"/>
    <col min="6936" max="6936" width="11.140625" style="2" customWidth="1"/>
    <col min="6937" max="6937" width="9.7109375" style="2" customWidth="1"/>
    <col min="6938" max="6938" width="15.28515625" style="2" customWidth="1"/>
    <col min="6939" max="6939" width="9.7109375" style="2" bestFit="1" customWidth="1"/>
    <col min="6940" max="7186" width="9.140625" style="2"/>
    <col min="7187" max="7187" width="10.85546875" style="2" customWidth="1"/>
    <col min="7188" max="7188" width="11.28515625" style="2" customWidth="1"/>
    <col min="7189" max="7190" width="13.85546875" style="2" customWidth="1"/>
    <col min="7191" max="7191" width="10.42578125" style="2" customWidth="1"/>
    <col min="7192" max="7192" width="11.140625" style="2" customWidth="1"/>
    <col min="7193" max="7193" width="9.7109375" style="2" customWidth="1"/>
    <col min="7194" max="7194" width="15.28515625" style="2" customWidth="1"/>
    <col min="7195" max="7195" width="9.7109375" style="2" bestFit="1" customWidth="1"/>
    <col min="7196" max="7442" width="9.140625" style="2"/>
    <col min="7443" max="7443" width="10.85546875" style="2" customWidth="1"/>
    <col min="7444" max="7444" width="11.28515625" style="2" customWidth="1"/>
    <col min="7445" max="7446" width="13.85546875" style="2" customWidth="1"/>
    <col min="7447" max="7447" width="10.42578125" style="2" customWidth="1"/>
    <col min="7448" max="7448" width="11.140625" style="2" customWidth="1"/>
    <col min="7449" max="7449" width="9.7109375" style="2" customWidth="1"/>
    <col min="7450" max="7450" width="15.28515625" style="2" customWidth="1"/>
    <col min="7451" max="7451" width="9.7109375" style="2" bestFit="1" customWidth="1"/>
    <col min="7452" max="7698" width="9.140625" style="2"/>
    <col min="7699" max="7699" width="10.85546875" style="2" customWidth="1"/>
    <col min="7700" max="7700" width="11.28515625" style="2" customWidth="1"/>
    <col min="7701" max="7702" width="13.85546875" style="2" customWidth="1"/>
    <col min="7703" max="7703" width="10.42578125" style="2" customWidth="1"/>
    <col min="7704" max="7704" width="11.140625" style="2" customWidth="1"/>
    <col min="7705" max="7705" width="9.7109375" style="2" customWidth="1"/>
    <col min="7706" max="7706" width="15.28515625" style="2" customWidth="1"/>
    <col min="7707" max="7707" width="9.7109375" style="2" bestFit="1" customWidth="1"/>
    <col min="7708" max="7954" width="9.140625" style="2"/>
    <col min="7955" max="7955" width="10.85546875" style="2" customWidth="1"/>
    <col min="7956" max="7956" width="11.28515625" style="2" customWidth="1"/>
    <col min="7957" max="7958" width="13.85546875" style="2" customWidth="1"/>
    <col min="7959" max="7959" width="10.42578125" style="2" customWidth="1"/>
    <col min="7960" max="7960" width="11.140625" style="2" customWidth="1"/>
    <col min="7961" max="7961" width="9.7109375" style="2" customWidth="1"/>
    <col min="7962" max="7962" width="15.28515625" style="2" customWidth="1"/>
    <col min="7963" max="7963" width="9.7109375" style="2" bestFit="1" customWidth="1"/>
    <col min="7964" max="8210" width="9.140625" style="2"/>
    <col min="8211" max="8211" width="10.85546875" style="2" customWidth="1"/>
    <col min="8212" max="8212" width="11.28515625" style="2" customWidth="1"/>
    <col min="8213" max="8214" width="13.85546875" style="2" customWidth="1"/>
    <col min="8215" max="8215" width="10.42578125" style="2" customWidth="1"/>
    <col min="8216" max="8216" width="11.140625" style="2" customWidth="1"/>
    <col min="8217" max="8217" width="9.7109375" style="2" customWidth="1"/>
    <col min="8218" max="8218" width="15.28515625" style="2" customWidth="1"/>
    <col min="8219" max="8219" width="9.7109375" style="2" bestFit="1" customWidth="1"/>
    <col min="8220" max="8466" width="9.140625" style="2"/>
    <col min="8467" max="8467" width="10.85546875" style="2" customWidth="1"/>
    <col min="8468" max="8468" width="11.28515625" style="2" customWidth="1"/>
    <col min="8469" max="8470" width="13.85546875" style="2" customWidth="1"/>
    <col min="8471" max="8471" width="10.42578125" style="2" customWidth="1"/>
    <col min="8472" max="8472" width="11.140625" style="2" customWidth="1"/>
    <col min="8473" max="8473" width="9.7109375" style="2" customWidth="1"/>
    <col min="8474" max="8474" width="15.28515625" style="2" customWidth="1"/>
    <col min="8475" max="8475" width="9.7109375" style="2" bestFit="1" customWidth="1"/>
    <col min="8476" max="8722" width="9.140625" style="2"/>
    <col min="8723" max="8723" width="10.85546875" style="2" customWidth="1"/>
    <col min="8724" max="8724" width="11.28515625" style="2" customWidth="1"/>
    <col min="8725" max="8726" width="13.85546875" style="2" customWidth="1"/>
    <col min="8727" max="8727" width="10.42578125" style="2" customWidth="1"/>
    <col min="8728" max="8728" width="11.140625" style="2" customWidth="1"/>
    <col min="8729" max="8729" width="9.7109375" style="2" customWidth="1"/>
    <col min="8730" max="8730" width="15.28515625" style="2" customWidth="1"/>
    <col min="8731" max="8731" width="9.7109375" style="2" bestFit="1" customWidth="1"/>
    <col min="8732" max="8978" width="9.140625" style="2"/>
    <col min="8979" max="8979" width="10.85546875" style="2" customWidth="1"/>
    <col min="8980" max="8980" width="11.28515625" style="2" customWidth="1"/>
    <col min="8981" max="8982" width="13.85546875" style="2" customWidth="1"/>
    <col min="8983" max="8983" width="10.42578125" style="2" customWidth="1"/>
    <col min="8984" max="8984" width="11.140625" style="2" customWidth="1"/>
    <col min="8985" max="8985" width="9.7109375" style="2" customWidth="1"/>
    <col min="8986" max="8986" width="15.28515625" style="2" customWidth="1"/>
    <col min="8987" max="8987" width="9.7109375" style="2" bestFit="1" customWidth="1"/>
    <col min="8988" max="9234" width="9.140625" style="2"/>
    <col min="9235" max="9235" width="10.85546875" style="2" customWidth="1"/>
    <col min="9236" max="9236" width="11.28515625" style="2" customWidth="1"/>
    <col min="9237" max="9238" width="13.85546875" style="2" customWidth="1"/>
    <col min="9239" max="9239" width="10.42578125" style="2" customWidth="1"/>
    <col min="9240" max="9240" width="11.140625" style="2" customWidth="1"/>
    <col min="9241" max="9241" width="9.7109375" style="2" customWidth="1"/>
    <col min="9242" max="9242" width="15.28515625" style="2" customWidth="1"/>
    <col min="9243" max="9243" width="9.7109375" style="2" bestFit="1" customWidth="1"/>
    <col min="9244" max="9490" width="9.140625" style="2"/>
    <col min="9491" max="9491" width="10.85546875" style="2" customWidth="1"/>
    <col min="9492" max="9492" width="11.28515625" style="2" customWidth="1"/>
    <col min="9493" max="9494" width="13.85546875" style="2" customWidth="1"/>
    <col min="9495" max="9495" width="10.42578125" style="2" customWidth="1"/>
    <col min="9496" max="9496" width="11.140625" style="2" customWidth="1"/>
    <col min="9497" max="9497" width="9.7109375" style="2" customWidth="1"/>
    <col min="9498" max="9498" width="15.28515625" style="2" customWidth="1"/>
    <col min="9499" max="9499" width="9.7109375" style="2" bestFit="1" customWidth="1"/>
    <col min="9500" max="9746" width="9.140625" style="2"/>
    <col min="9747" max="9747" width="10.85546875" style="2" customWidth="1"/>
    <col min="9748" max="9748" width="11.28515625" style="2" customWidth="1"/>
    <col min="9749" max="9750" width="13.85546875" style="2" customWidth="1"/>
    <col min="9751" max="9751" width="10.42578125" style="2" customWidth="1"/>
    <col min="9752" max="9752" width="11.140625" style="2" customWidth="1"/>
    <col min="9753" max="9753" width="9.7109375" style="2" customWidth="1"/>
    <col min="9754" max="9754" width="15.28515625" style="2" customWidth="1"/>
    <col min="9755" max="9755" width="9.7109375" style="2" bestFit="1" customWidth="1"/>
    <col min="9756" max="10002" width="9.140625" style="2"/>
    <col min="10003" max="10003" width="10.85546875" style="2" customWidth="1"/>
    <col min="10004" max="10004" width="11.28515625" style="2" customWidth="1"/>
    <col min="10005" max="10006" width="13.85546875" style="2" customWidth="1"/>
    <col min="10007" max="10007" width="10.42578125" style="2" customWidth="1"/>
    <col min="10008" max="10008" width="11.140625" style="2" customWidth="1"/>
    <col min="10009" max="10009" width="9.7109375" style="2" customWidth="1"/>
    <col min="10010" max="10010" width="15.28515625" style="2" customWidth="1"/>
    <col min="10011" max="10011" width="9.7109375" style="2" bestFit="1" customWidth="1"/>
    <col min="10012" max="10258" width="9.140625" style="2"/>
    <col min="10259" max="10259" width="10.85546875" style="2" customWidth="1"/>
    <col min="10260" max="10260" width="11.28515625" style="2" customWidth="1"/>
    <col min="10261" max="10262" width="13.85546875" style="2" customWidth="1"/>
    <col min="10263" max="10263" width="10.42578125" style="2" customWidth="1"/>
    <col min="10264" max="10264" width="11.140625" style="2" customWidth="1"/>
    <col min="10265" max="10265" width="9.7109375" style="2" customWidth="1"/>
    <col min="10266" max="10266" width="15.28515625" style="2" customWidth="1"/>
    <col min="10267" max="10267" width="9.7109375" style="2" bestFit="1" customWidth="1"/>
    <col min="10268" max="10514" width="9.140625" style="2"/>
    <col min="10515" max="10515" width="10.85546875" style="2" customWidth="1"/>
    <col min="10516" max="10516" width="11.28515625" style="2" customWidth="1"/>
    <col min="10517" max="10518" width="13.85546875" style="2" customWidth="1"/>
    <col min="10519" max="10519" width="10.42578125" style="2" customWidth="1"/>
    <col min="10520" max="10520" width="11.140625" style="2" customWidth="1"/>
    <col min="10521" max="10521" width="9.7109375" style="2" customWidth="1"/>
    <col min="10522" max="10522" width="15.28515625" style="2" customWidth="1"/>
    <col min="10523" max="10523" width="9.7109375" style="2" bestFit="1" customWidth="1"/>
    <col min="10524" max="10770" width="9.140625" style="2"/>
    <col min="10771" max="10771" width="10.85546875" style="2" customWidth="1"/>
    <col min="10772" max="10772" width="11.28515625" style="2" customWidth="1"/>
    <col min="10773" max="10774" width="13.85546875" style="2" customWidth="1"/>
    <col min="10775" max="10775" width="10.42578125" style="2" customWidth="1"/>
    <col min="10776" max="10776" width="11.140625" style="2" customWidth="1"/>
    <col min="10777" max="10777" width="9.7109375" style="2" customWidth="1"/>
    <col min="10778" max="10778" width="15.28515625" style="2" customWidth="1"/>
    <col min="10779" max="10779" width="9.7109375" style="2" bestFit="1" customWidth="1"/>
    <col min="10780" max="11026" width="9.140625" style="2"/>
    <col min="11027" max="11027" width="10.85546875" style="2" customWidth="1"/>
    <col min="11028" max="11028" width="11.28515625" style="2" customWidth="1"/>
    <col min="11029" max="11030" width="13.85546875" style="2" customWidth="1"/>
    <col min="11031" max="11031" width="10.42578125" style="2" customWidth="1"/>
    <col min="11032" max="11032" width="11.140625" style="2" customWidth="1"/>
    <col min="11033" max="11033" width="9.7109375" style="2" customWidth="1"/>
    <col min="11034" max="11034" width="15.28515625" style="2" customWidth="1"/>
    <col min="11035" max="11035" width="9.7109375" style="2" bestFit="1" customWidth="1"/>
    <col min="11036" max="11282" width="9.140625" style="2"/>
    <col min="11283" max="11283" width="10.85546875" style="2" customWidth="1"/>
    <col min="11284" max="11284" width="11.28515625" style="2" customWidth="1"/>
    <col min="11285" max="11286" width="13.85546875" style="2" customWidth="1"/>
    <col min="11287" max="11287" width="10.42578125" style="2" customWidth="1"/>
    <col min="11288" max="11288" width="11.140625" style="2" customWidth="1"/>
    <col min="11289" max="11289" width="9.7109375" style="2" customWidth="1"/>
    <col min="11290" max="11290" width="15.28515625" style="2" customWidth="1"/>
    <col min="11291" max="11291" width="9.7109375" style="2" bestFit="1" customWidth="1"/>
    <col min="11292" max="11538" width="9.140625" style="2"/>
    <col min="11539" max="11539" width="10.85546875" style="2" customWidth="1"/>
    <col min="11540" max="11540" width="11.28515625" style="2" customWidth="1"/>
    <col min="11541" max="11542" width="13.85546875" style="2" customWidth="1"/>
    <col min="11543" max="11543" width="10.42578125" style="2" customWidth="1"/>
    <col min="11544" max="11544" width="11.140625" style="2" customWidth="1"/>
    <col min="11545" max="11545" width="9.7109375" style="2" customWidth="1"/>
    <col min="11546" max="11546" width="15.28515625" style="2" customWidth="1"/>
    <col min="11547" max="11547" width="9.7109375" style="2" bestFit="1" customWidth="1"/>
    <col min="11548" max="11794" width="9.140625" style="2"/>
    <col min="11795" max="11795" width="10.85546875" style="2" customWidth="1"/>
    <col min="11796" max="11796" width="11.28515625" style="2" customWidth="1"/>
    <col min="11797" max="11798" width="13.85546875" style="2" customWidth="1"/>
    <col min="11799" max="11799" width="10.42578125" style="2" customWidth="1"/>
    <col min="11800" max="11800" width="11.140625" style="2" customWidth="1"/>
    <col min="11801" max="11801" width="9.7109375" style="2" customWidth="1"/>
    <col min="11802" max="11802" width="15.28515625" style="2" customWidth="1"/>
    <col min="11803" max="11803" width="9.7109375" style="2" bestFit="1" customWidth="1"/>
    <col min="11804" max="12050" width="9.140625" style="2"/>
    <col min="12051" max="12051" width="10.85546875" style="2" customWidth="1"/>
    <col min="12052" max="12052" width="11.28515625" style="2" customWidth="1"/>
    <col min="12053" max="12054" width="13.85546875" style="2" customWidth="1"/>
    <col min="12055" max="12055" width="10.42578125" style="2" customWidth="1"/>
    <col min="12056" max="12056" width="11.140625" style="2" customWidth="1"/>
    <col min="12057" max="12057" width="9.7109375" style="2" customWidth="1"/>
    <col min="12058" max="12058" width="15.28515625" style="2" customWidth="1"/>
    <col min="12059" max="12059" width="9.7109375" style="2" bestFit="1" customWidth="1"/>
    <col min="12060" max="12306" width="9.140625" style="2"/>
    <col min="12307" max="12307" width="10.85546875" style="2" customWidth="1"/>
    <col min="12308" max="12308" width="11.28515625" style="2" customWidth="1"/>
    <col min="12309" max="12310" width="13.85546875" style="2" customWidth="1"/>
    <col min="12311" max="12311" width="10.42578125" style="2" customWidth="1"/>
    <col min="12312" max="12312" width="11.140625" style="2" customWidth="1"/>
    <col min="12313" max="12313" width="9.7109375" style="2" customWidth="1"/>
    <col min="12314" max="12314" width="15.28515625" style="2" customWidth="1"/>
    <col min="12315" max="12315" width="9.7109375" style="2" bestFit="1" customWidth="1"/>
    <col min="12316" max="12562" width="9.140625" style="2"/>
    <col min="12563" max="12563" width="10.85546875" style="2" customWidth="1"/>
    <col min="12564" max="12564" width="11.28515625" style="2" customWidth="1"/>
    <col min="12565" max="12566" width="13.85546875" style="2" customWidth="1"/>
    <col min="12567" max="12567" width="10.42578125" style="2" customWidth="1"/>
    <col min="12568" max="12568" width="11.140625" style="2" customWidth="1"/>
    <col min="12569" max="12569" width="9.7109375" style="2" customWidth="1"/>
    <col min="12570" max="12570" width="15.28515625" style="2" customWidth="1"/>
    <col min="12571" max="12571" width="9.7109375" style="2" bestFit="1" customWidth="1"/>
    <col min="12572" max="12818" width="9.140625" style="2"/>
    <col min="12819" max="12819" width="10.85546875" style="2" customWidth="1"/>
    <col min="12820" max="12820" width="11.28515625" style="2" customWidth="1"/>
    <col min="12821" max="12822" width="13.85546875" style="2" customWidth="1"/>
    <col min="12823" max="12823" width="10.42578125" style="2" customWidth="1"/>
    <col min="12824" max="12824" width="11.140625" style="2" customWidth="1"/>
    <col min="12825" max="12825" width="9.7109375" style="2" customWidth="1"/>
    <col min="12826" max="12826" width="15.28515625" style="2" customWidth="1"/>
    <col min="12827" max="12827" width="9.7109375" style="2" bestFit="1" customWidth="1"/>
    <col min="12828" max="13074" width="9.140625" style="2"/>
    <col min="13075" max="13075" width="10.85546875" style="2" customWidth="1"/>
    <col min="13076" max="13076" width="11.28515625" style="2" customWidth="1"/>
    <col min="13077" max="13078" width="13.85546875" style="2" customWidth="1"/>
    <col min="13079" max="13079" width="10.42578125" style="2" customWidth="1"/>
    <col min="13080" max="13080" width="11.140625" style="2" customWidth="1"/>
    <col min="13081" max="13081" width="9.7109375" style="2" customWidth="1"/>
    <col min="13082" max="13082" width="15.28515625" style="2" customWidth="1"/>
    <col min="13083" max="13083" width="9.7109375" style="2" bestFit="1" customWidth="1"/>
    <col min="13084" max="13330" width="9.140625" style="2"/>
    <col min="13331" max="13331" width="10.85546875" style="2" customWidth="1"/>
    <col min="13332" max="13332" width="11.28515625" style="2" customWidth="1"/>
    <col min="13333" max="13334" width="13.85546875" style="2" customWidth="1"/>
    <col min="13335" max="13335" width="10.42578125" style="2" customWidth="1"/>
    <col min="13336" max="13336" width="11.140625" style="2" customWidth="1"/>
    <col min="13337" max="13337" width="9.7109375" style="2" customWidth="1"/>
    <col min="13338" max="13338" width="15.28515625" style="2" customWidth="1"/>
    <col min="13339" max="13339" width="9.7109375" style="2" bestFit="1" customWidth="1"/>
    <col min="13340" max="13586" width="9.140625" style="2"/>
    <col min="13587" max="13587" width="10.85546875" style="2" customWidth="1"/>
    <col min="13588" max="13588" width="11.28515625" style="2" customWidth="1"/>
    <col min="13589" max="13590" width="13.85546875" style="2" customWidth="1"/>
    <col min="13591" max="13591" width="10.42578125" style="2" customWidth="1"/>
    <col min="13592" max="13592" width="11.140625" style="2" customWidth="1"/>
    <col min="13593" max="13593" width="9.7109375" style="2" customWidth="1"/>
    <col min="13594" max="13594" width="15.28515625" style="2" customWidth="1"/>
    <col min="13595" max="13595" width="9.7109375" style="2" bestFit="1" customWidth="1"/>
    <col min="13596" max="13842" width="9.140625" style="2"/>
    <col min="13843" max="13843" width="10.85546875" style="2" customWidth="1"/>
    <col min="13844" max="13844" width="11.28515625" style="2" customWidth="1"/>
    <col min="13845" max="13846" width="13.85546875" style="2" customWidth="1"/>
    <col min="13847" max="13847" width="10.42578125" style="2" customWidth="1"/>
    <col min="13848" max="13848" width="11.140625" style="2" customWidth="1"/>
    <col min="13849" max="13849" width="9.7109375" style="2" customWidth="1"/>
    <col min="13850" max="13850" width="15.28515625" style="2" customWidth="1"/>
    <col min="13851" max="13851" width="9.7109375" style="2" bestFit="1" customWidth="1"/>
    <col min="13852" max="14098" width="9.140625" style="2"/>
    <col min="14099" max="14099" width="10.85546875" style="2" customWidth="1"/>
    <col min="14100" max="14100" width="11.28515625" style="2" customWidth="1"/>
    <col min="14101" max="14102" width="13.85546875" style="2" customWidth="1"/>
    <col min="14103" max="14103" width="10.42578125" style="2" customWidth="1"/>
    <col min="14104" max="14104" width="11.140625" style="2" customWidth="1"/>
    <col min="14105" max="14105" width="9.7109375" style="2" customWidth="1"/>
    <col min="14106" max="14106" width="15.28515625" style="2" customWidth="1"/>
    <col min="14107" max="14107" width="9.7109375" style="2" bestFit="1" customWidth="1"/>
    <col min="14108" max="14354" width="9.140625" style="2"/>
    <col min="14355" max="14355" width="10.85546875" style="2" customWidth="1"/>
    <col min="14356" max="14356" width="11.28515625" style="2" customWidth="1"/>
    <col min="14357" max="14358" width="13.85546875" style="2" customWidth="1"/>
    <col min="14359" max="14359" width="10.42578125" style="2" customWidth="1"/>
    <col min="14360" max="14360" width="11.140625" style="2" customWidth="1"/>
    <col min="14361" max="14361" width="9.7109375" style="2" customWidth="1"/>
    <col min="14362" max="14362" width="15.28515625" style="2" customWidth="1"/>
    <col min="14363" max="14363" width="9.7109375" style="2" bestFit="1" customWidth="1"/>
    <col min="14364" max="14610" width="9.140625" style="2"/>
    <col min="14611" max="14611" width="10.85546875" style="2" customWidth="1"/>
    <col min="14612" max="14612" width="11.28515625" style="2" customWidth="1"/>
    <col min="14613" max="14614" width="13.85546875" style="2" customWidth="1"/>
    <col min="14615" max="14615" width="10.42578125" style="2" customWidth="1"/>
    <col min="14616" max="14616" width="11.140625" style="2" customWidth="1"/>
    <col min="14617" max="14617" width="9.7109375" style="2" customWidth="1"/>
    <col min="14618" max="14618" width="15.28515625" style="2" customWidth="1"/>
    <col min="14619" max="14619" width="9.7109375" style="2" bestFit="1" customWidth="1"/>
    <col min="14620" max="14866" width="9.140625" style="2"/>
    <col min="14867" max="14867" width="10.85546875" style="2" customWidth="1"/>
    <col min="14868" max="14868" width="11.28515625" style="2" customWidth="1"/>
    <col min="14869" max="14870" width="13.85546875" style="2" customWidth="1"/>
    <col min="14871" max="14871" width="10.42578125" style="2" customWidth="1"/>
    <col min="14872" max="14872" width="11.140625" style="2" customWidth="1"/>
    <col min="14873" max="14873" width="9.7109375" style="2" customWidth="1"/>
    <col min="14874" max="14874" width="15.28515625" style="2" customWidth="1"/>
    <col min="14875" max="14875" width="9.7109375" style="2" bestFit="1" customWidth="1"/>
    <col min="14876" max="15122" width="9.140625" style="2"/>
    <col min="15123" max="15123" width="10.85546875" style="2" customWidth="1"/>
    <col min="15124" max="15124" width="11.28515625" style="2" customWidth="1"/>
    <col min="15125" max="15126" width="13.85546875" style="2" customWidth="1"/>
    <col min="15127" max="15127" width="10.42578125" style="2" customWidth="1"/>
    <col min="15128" max="15128" width="11.140625" style="2" customWidth="1"/>
    <col min="15129" max="15129" width="9.7109375" style="2" customWidth="1"/>
    <col min="15130" max="15130" width="15.28515625" style="2" customWidth="1"/>
    <col min="15131" max="15131" width="9.7109375" style="2" bestFit="1" customWidth="1"/>
    <col min="15132" max="15378" width="9.140625" style="2"/>
    <col min="15379" max="15379" width="10.85546875" style="2" customWidth="1"/>
    <col min="15380" max="15380" width="11.28515625" style="2" customWidth="1"/>
    <col min="15381" max="15382" width="13.85546875" style="2" customWidth="1"/>
    <col min="15383" max="15383" width="10.42578125" style="2" customWidth="1"/>
    <col min="15384" max="15384" width="11.140625" style="2" customWidth="1"/>
    <col min="15385" max="15385" width="9.7109375" style="2" customWidth="1"/>
    <col min="15386" max="15386" width="15.28515625" style="2" customWidth="1"/>
    <col min="15387" max="15387" width="9.7109375" style="2" bestFit="1" customWidth="1"/>
    <col min="15388" max="15634" width="9.140625" style="2"/>
    <col min="15635" max="15635" width="10.85546875" style="2" customWidth="1"/>
    <col min="15636" max="15636" width="11.28515625" style="2" customWidth="1"/>
    <col min="15637" max="15638" width="13.85546875" style="2" customWidth="1"/>
    <col min="15639" max="15639" width="10.42578125" style="2" customWidth="1"/>
    <col min="15640" max="15640" width="11.140625" style="2" customWidth="1"/>
    <col min="15641" max="15641" width="9.7109375" style="2" customWidth="1"/>
    <col min="15642" max="15642" width="15.28515625" style="2" customWidth="1"/>
    <col min="15643" max="15643" width="9.7109375" style="2" bestFit="1" customWidth="1"/>
    <col min="15644" max="15890" width="9.140625" style="2"/>
    <col min="15891" max="15891" width="10.85546875" style="2" customWidth="1"/>
    <col min="15892" max="15892" width="11.28515625" style="2" customWidth="1"/>
    <col min="15893" max="15894" width="13.85546875" style="2" customWidth="1"/>
    <col min="15895" max="15895" width="10.42578125" style="2" customWidth="1"/>
    <col min="15896" max="15896" width="11.140625" style="2" customWidth="1"/>
    <col min="15897" max="15897" width="9.7109375" style="2" customWidth="1"/>
    <col min="15898" max="15898" width="15.28515625" style="2" customWidth="1"/>
    <col min="15899" max="15899" width="9.7109375" style="2" bestFit="1" customWidth="1"/>
    <col min="15900" max="16146" width="9.140625" style="2"/>
    <col min="16147" max="16147" width="10.85546875" style="2" customWidth="1"/>
    <col min="16148" max="16148" width="11.28515625" style="2" customWidth="1"/>
    <col min="16149" max="16150" width="13.85546875" style="2" customWidth="1"/>
    <col min="16151" max="16151" width="10.42578125" style="2" customWidth="1"/>
    <col min="16152" max="16152" width="11.140625" style="2" customWidth="1"/>
    <col min="16153" max="16153" width="9.7109375" style="2" customWidth="1"/>
    <col min="16154" max="16154" width="15.28515625" style="2" customWidth="1"/>
    <col min="16155" max="16155" width="9.7109375" style="2" bestFit="1" customWidth="1"/>
    <col min="16156" max="16384" width="9.140625" style="2"/>
  </cols>
  <sheetData>
    <row r="1" spans="1:48" x14ac:dyDescent="0.2">
      <c r="A1" s="1"/>
      <c r="H1" s="4"/>
    </row>
    <row r="2" spans="1:48" x14ac:dyDescent="0.2">
      <c r="A2" s="1"/>
    </row>
    <row r="3" spans="1:48" x14ac:dyDescent="0.2">
      <c r="A3" s="1"/>
    </row>
    <row r="4" spans="1:48" ht="15.75" x14ac:dyDescent="0.25">
      <c r="A4" s="5" t="s">
        <v>0</v>
      </c>
      <c r="B4" s="6"/>
      <c r="C4" s="6"/>
      <c r="D4" s="6"/>
      <c r="E4" s="6"/>
      <c r="F4" s="6"/>
      <c r="M4" s="2" t="s">
        <v>1</v>
      </c>
    </row>
    <row r="5" spans="1:48" ht="16.5" thickBot="1" x14ac:dyDescent="0.3">
      <c r="A5" s="5"/>
      <c r="B5" s="6"/>
      <c r="C5" s="6"/>
      <c r="D5" s="6"/>
      <c r="E5" s="6"/>
      <c r="F5" s="6"/>
      <c r="M5" s="2">
        <v>0.3</v>
      </c>
    </row>
    <row r="6" spans="1:48" x14ac:dyDescent="0.2">
      <c r="A6" s="7"/>
      <c r="B6" s="8"/>
      <c r="C6" s="8" t="s">
        <v>2</v>
      </c>
      <c r="D6" s="8"/>
      <c r="E6" s="9"/>
      <c r="F6" s="10" t="s">
        <v>3</v>
      </c>
      <c r="G6" s="10"/>
      <c r="H6" s="11" t="s">
        <v>4</v>
      </c>
      <c r="I6" s="12"/>
      <c r="J6" s="13"/>
      <c r="K6" s="14"/>
      <c r="L6" s="14"/>
      <c r="M6" s="14"/>
      <c r="N6" s="14"/>
      <c r="O6" s="15"/>
      <c r="P6" s="2" t="s">
        <v>5</v>
      </c>
    </row>
    <row r="7" spans="1:48" x14ac:dyDescent="0.2">
      <c r="A7" s="16" t="s">
        <v>6</v>
      </c>
      <c r="B7" s="17" t="s">
        <v>7</v>
      </c>
      <c r="C7" s="17" t="s">
        <v>8</v>
      </c>
      <c r="D7" s="17" t="s">
        <v>9</v>
      </c>
      <c r="E7" s="18"/>
      <c r="F7" s="17" t="s">
        <v>10</v>
      </c>
      <c r="G7" s="17" t="s">
        <v>11</v>
      </c>
      <c r="H7" s="18" t="s">
        <v>9</v>
      </c>
      <c r="I7" s="19" t="s">
        <v>12</v>
      </c>
      <c r="J7" s="20" t="s">
        <v>13</v>
      </c>
      <c r="K7" s="21" t="s">
        <v>14</v>
      </c>
      <c r="L7" s="21" t="s">
        <v>15</v>
      </c>
      <c r="M7" s="21" t="s">
        <v>16</v>
      </c>
      <c r="N7" s="21" t="s">
        <v>15</v>
      </c>
      <c r="O7" s="22" t="s">
        <v>17</v>
      </c>
    </row>
    <row r="8" spans="1:48" ht="12.75" customHeight="1" x14ac:dyDescent="0.2">
      <c r="A8" s="16" t="s">
        <v>18</v>
      </c>
      <c r="B8" s="17"/>
      <c r="C8" s="17" t="s">
        <v>9</v>
      </c>
      <c r="D8" s="17" t="s">
        <v>19</v>
      </c>
      <c r="E8" s="18" t="s">
        <v>20</v>
      </c>
      <c r="F8" s="17"/>
      <c r="G8" s="17"/>
      <c r="H8" s="18" t="s">
        <v>21</v>
      </c>
      <c r="I8" s="19" t="s">
        <v>22</v>
      </c>
      <c r="J8" s="20"/>
      <c r="K8" s="21" t="s">
        <v>23</v>
      </c>
      <c r="L8" s="21" t="s">
        <v>24</v>
      </c>
      <c r="M8" s="21" t="s">
        <v>25</v>
      </c>
      <c r="N8" s="21" t="s">
        <v>26</v>
      </c>
      <c r="O8" s="22" t="s">
        <v>27</v>
      </c>
    </row>
    <row r="9" spans="1:48" ht="13.5" thickBot="1" x14ac:dyDescent="0.25">
      <c r="A9" s="23"/>
      <c r="B9" s="24" t="s">
        <v>28</v>
      </c>
      <c r="C9" s="24" t="s">
        <v>29</v>
      </c>
      <c r="D9" s="24" t="s">
        <v>29</v>
      </c>
      <c r="E9" s="25" t="s">
        <v>30</v>
      </c>
      <c r="F9" s="24" t="s">
        <v>31</v>
      </c>
      <c r="G9" s="24" t="s">
        <v>32</v>
      </c>
      <c r="H9" s="24" t="s">
        <v>29</v>
      </c>
      <c r="I9" s="26" t="s">
        <v>33</v>
      </c>
      <c r="J9" s="27" t="s">
        <v>34</v>
      </c>
      <c r="K9" s="28" t="s">
        <v>34</v>
      </c>
      <c r="L9" s="28" t="s">
        <v>34</v>
      </c>
      <c r="M9" s="28" t="s">
        <v>35</v>
      </c>
      <c r="N9" s="28" t="s">
        <v>34</v>
      </c>
      <c r="O9" s="29" t="s">
        <v>34</v>
      </c>
    </row>
    <row r="10" spans="1:48" x14ac:dyDescent="0.2">
      <c r="A10" s="30"/>
      <c r="B10" s="31"/>
      <c r="C10" s="31"/>
      <c r="D10" s="31"/>
      <c r="E10" s="32"/>
      <c r="F10" s="31"/>
      <c r="G10" s="31"/>
      <c r="H10" s="32"/>
      <c r="I10" s="33"/>
      <c r="J10" s="13"/>
      <c r="K10" s="14"/>
      <c r="L10" s="14"/>
      <c r="M10" s="14"/>
      <c r="N10" s="14"/>
      <c r="O10" s="15"/>
      <c r="AM10" s="34"/>
      <c r="AN10" s="34"/>
      <c r="AO10" s="34"/>
      <c r="AP10" s="35"/>
      <c r="AQ10" s="125"/>
      <c r="AR10" s="126"/>
      <c r="AS10" s="127"/>
      <c r="AT10" s="38"/>
      <c r="AU10" s="37"/>
      <c r="AV10" s="36"/>
    </row>
    <row r="11" spans="1:48" x14ac:dyDescent="0.2">
      <c r="A11" s="16" t="s">
        <v>36</v>
      </c>
      <c r="B11" s="39">
        <v>3542.13</v>
      </c>
      <c r="C11" s="40">
        <v>2.2342050000000002</v>
      </c>
      <c r="D11" s="40">
        <v>2.9938419999999999</v>
      </c>
      <c r="E11" s="41">
        <v>0.20599520372727181</v>
      </c>
      <c r="F11" s="39">
        <v>2.6739999999999999</v>
      </c>
      <c r="G11" s="42">
        <v>0.5035712794261431</v>
      </c>
      <c r="H11" s="43">
        <v>1.22</v>
      </c>
      <c r="I11" s="44">
        <f>H11/C11</f>
        <v>0.5460555320572642</v>
      </c>
      <c r="J11" s="45">
        <f>1-G11</f>
        <v>0.4964287205738569</v>
      </c>
      <c r="K11" s="46">
        <f>IF(G11&lt;0.6,$P$37*G11+$Q$37,AVERAGE(0.368,0.267,0.256,0.207))</f>
        <v>0.35723198744809587</v>
      </c>
      <c r="L11" s="47">
        <f t="shared" ref="L11:L17" si="0">(LN(K11)-LN($L$37))/$K$37</f>
        <v>0.28079855975716811</v>
      </c>
      <c r="M11" s="46">
        <f>0.125*(1+$M$5)</f>
        <v>0.16250000000000001</v>
      </c>
      <c r="N11" s="48">
        <f t="shared" ref="N11:N17" si="1">IF(D11&gt;0.5, IF(J11&lt;$W$37,$U$40/$W$37*J11,$U$40),IF(J11&lt;$AC$37,$AA$40/$AC$37*J11,$AA$40))</f>
        <v>0.236598663452355</v>
      </c>
      <c r="O11" s="49">
        <f t="shared" ref="O11:O17" si="2">N11*$W$37/J11</f>
        <v>0.31000000000000005</v>
      </c>
      <c r="P11" s="50" t="str">
        <f t="shared" ref="P11:P17" si="3">" k (mD) - "&amp;ROUNDDOWN(C11,2)</f>
        <v xml:space="preserve"> k (mD) - 2.23</v>
      </c>
    </row>
    <row r="12" spans="1:48" x14ac:dyDescent="0.2">
      <c r="A12" s="20" t="s">
        <v>37</v>
      </c>
      <c r="B12" s="39">
        <v>3545.73</v>
      </c>
      <c r="C12" s="51">
        <v>457.18419999999998</v>
      </c>
      <c r="D12" s="51">
        <v>473.33749999999998</v>
      </c>
      <c r="E12" s="52">
        <v>0.26094664376519333</v>
      </c>
      <c r="F12" s="39">
        <v>2.6840000000000002</v>
      </c>
      <c r="G12" s="42">
        <v>0.12545341359349829</v>
      </c>
      <c r="H12" s="53">
        <v>399</v>
      </c>
      <c r="I12" s="44">
        <f t="shared" ref="I12:I17" si="4">H12/C12</f>
        <v>0.87273357215756808</v>
      </c>
      <c r="J12" s="45">
        <f t="shared" ref="J12:J17" si="5">1-G12</f>
        <v>0.87454658640650174</v>
      </c>
      <c r="K12" s="46">
        <f t="shared" ref="K12:K17" si="6">IF(G12&lt;0.6,$P$37*G12+$Q$37,AVERAGE(0.368,0.267,0.256,0.207))</f>
        <v>0.65972628011421186</v>
      </c>
      <c r="L12" s="54">
        <f t="shared" si="0"/>
        <v>9.6582455739690654E-2</v>
      </c>
      <c r="M12" s="46">
        <f>0.083*(1+$M$5)</f>
        <v>0.10790000000000001</v>
      </c>
      <c r="N12" s="48">
        <f t="shared" si="1"/>
        <v>0.31000000000000005</v>
      </c>
      <c r="O12" s="49">
        <f t="shared" si="2"/>
        <v>0.23056057742584934</v>
      </c>
      <c r="P12" s="50" t="str">
        <f t="shared" si="3"/>
        <v xml:space="preserve"> k (mD) - 457.18</v>
      </c>
    </row>
    <row r="13" spans="1:48" x14ac:dyDescent="0.2">
      <c r="A13" s="20" t="s">
        <v>38</v>
      </c>
      <c r="B13" s="39">
        <v>3547.45</v>
      </c>
      <c r="C13" s="51">
        <v>293.16789999999997</v>
      </c>
      <c r="D13" s="51">
        <v>308.92529999999999</v>
      </c>
      <c r="E13" s="52">
        <v>0.26532070589255924</v>
      </c>
      <c r="F13" s="39">
        <v>2.6850000000000001</v>
      </c>
      <c r="G13" s="42">
        <v>0.1406479667348654</v>
      </c>
      <c r="H13" s="53">
        <v>259</v>
      </c>
      <c r="I13" s="44">
        <f t="shared" si="4"/>
        <v>0.8834527927511846</v>
      </c>
      <c r="J13" s="45">
        <f t="shared" si="5"/>
        <v>0.85935203326513454</v>
      </c>
      <c r="K13" s="46">
        <f t="shared" si="6"/>
        <v>0.64757063760111822</v>
      </c>
      <c r="L13" s="54">
        <f t="shared" si="0"/>
        <v>0.10216718290304198</v>
      </c>
      <c r="M13" s="46">
        <f>0.104*(1+$M$5)</f>
        <v>0.13519999999999999</v>
      </c>
      <c r="N13" s="48">
        <f t="shared" si="1"/>
        <v>0.31000000000000005</v>
      </c>
      <c r="O13" s="49">
        <f t="shared" si="2"/>
        <v>0.23463721285625685</v>
      </c>
      <c r="P13" s="50" t="str">
        <f t="shared" si="3"/>
        <v xml:space="preserve"> k (mD) - 293.16</v>
      </c>
    </row>
    <row r="14" spans="1:48" x14ac:dyDescent="0.2">
      <c r="A14" s="20" t="s">
        <v>39</v>
      </c>
      <c r="B14" s="39">
        <v>3552.22</v>
      </c>
      <c r="C14" s="51">
        <v>564.70979999999997</v>
      </c>
      <c r="D14" s="51">
        <v>573.47789999999998</v>
      </c>
      <c r="E14" s="52">
        <v>0.2516677927408203</v>
      </c>
      <c r="F14" s="39">
        <v>2.68</v>
      </c>
      <c r="G14" s="42">
        <v>0.10350862794780469</v>
      </c>
      <c r="H14" s="53">
        <v>382</v>
      </c>
      <c r="I14" s="44">
        <f t="shared" si="4"/>
        <v>0.67645364043620282</v>
      </c>
      <c r="J14" s="45">
        <f t="shared" si="5"/>
        <v>0.89649137205219531</v>
      </c>
      <c r="K14" s="46">
        <f t="shared" si="6"/>
        <v>0.67728210863076677</v>
      </c>
      <c r="L14" s="54">
        <f t="shared" si="0"/>
        <v>8.8695708517118346E-2</v>
      </c>
      <c r="M14" s="46">
        <f>0.089*(1+$M$5)</f>
        <v>0.1157</v>
      </c>
      <c r="N14" s="48">
        <f t="shared" si="1"/>
        <v>0.31000000000000005</v>
      </c>
      <c r="O14" s="49">
        <f t="shared" si="2"/>
        <v>0.22491679477752841</v>
      </c>
      <c r="P14" s="50" t="str">
        <f t="shared" si="3"/>
        <v xml:space="preserve"> k (mD) - 564.7</v>
      </c>
    </row>
    <row r="15" spans="1:48" x14ac:dyDescent="0.2">
      <c r="A15" s="20" t="s">
        <v>40</v>
      </c>
      <c r="B15" s="39">
        <v>3552.83</v>
      </c>
      <c r="C15" s="51">
        <v>189.88040000000001</v>
      </c>
      <c r="D15" s="51">
        <v>201.13390000000001</v>
      </c>
      <c r="E15" s="52">
        <v>0.27992097635383201</v>
      </c>
      <c r="F15" s="39">
        <v>2.6819999999999999</v>
      </c>
      <c r="G15" s="42">
        <v>0.17864204751261872</v>
      </c>
      <c r="H15" s="53">
        <v>166</v>
      </c>
      <c r="I15" s="44">
        <f t="shared" si="4"/>
        <v>0.87423451814931918</v>
      </c>
      <c r="J15" s="45">
        <f t="shared" si="5"/>
        <v>0.8213579524873813</v>
      </c>
      <c r="K15" s="46">
        <f t="shared" si="6"/>
        <v>0.61717537297891556</v>
      </c>
      <c r="L15" s="54">
        <f t="shared" si="0"/>
        <v>0.11660401832392837</v>
      </c>
      <c r="M15" s="46">
        <f>0.134*(1+$M$5)</f>
        <v>0.17420000000000002</v>
      </c>
      <c r="N15" s="48">
        <f t="shared" si="1"/>
        <v>0.31000000000000005</v>
      </c>
      <c r="O15" s="49">
        <f t="shared" si="2"/>
        <v>0.24549097666499584</v>
      </c>
      <c r="P15" s="50" t="str">
        <f t="shared" si="3"/>
        <v xml:space="preserve"> k (mD) - 189.88</v>
      </c>
    </row>
    <row r="16" spans="1:48" x14ac:dyDescent="0.2">
      <c r="A16" s="16" t="s">
        <v>41</v>
      </c>
      <c r="B16" s="39">
        <v>3554.65</v>
      </c>
      <c r="C16" s="40">
        <v>3.1775479999999998</v>
      </c>
      <c r="D16" s="40">
        <v>3.9469379999999998</v>
      </c>
      <c r="E16" s="52">
        <v>0.20358698399503133</v>
      </c>
      <c r="F16" s="39">
        <v>2.6789999999999998</v>
      </c>
      <c r="G16" s="42">
        <v>0.47045109127679269</v>
      </c>
      <c r="H16" s="43">
        <v>2.62</v>
      </c>
      <c r="I16" s="44">
        <f t="shared" si="4"/>
        <v>0.82453514470906508</v>
      </c>
      <c r="J16" s="45">
        <f t="shared" si="5"/>
        <v>0.52954890872320726</v>
      </c>
      <c r="K16" s="46">
        <f t="shared" si="6"/>
        <v>0.38372813796757621</v>
      </c>
      <c r="L16" s="54">
        <f t="shared" si="0"/>
        <v>0.25931239390327437</v>
      </c>
      <c r="M16" s="46">
        <f>0.119*(1+$M$5)</f>
        <v>0.1547</v>
      </c>
      <c r="N16" s="48">
        <f t="shared" si="1"/>
        <v>0.25238379417639617</v>
      </c>
      <c r="O16" s="49">
        <f t="shared" si="2"/>
        <v>0.31000000000000005</v>
      </c>
      <c r="P16" s="50" t="str">
        <f t="shared" si="3"/>
        <v xml:space="preserve"> k (mD) - 3.17</v>
      </c>
    </row>
    <row r="17" spans="1:34" ht="13.5" thickBot="1" x14ac:dyDescent="0.25">
      <c r="A17" s="55" t="s">
        <v>42</v>
      </c>
      <c r="B17" s="56">
        <v>3540.26</v>
      </c>
      <c r="C17" s="57">
        <v>0.25009710000000002</v>
      </c>
      <c r="D17" s="57">
        <v>0.34706870000000001</v>
      </c>
      <c r="E17" s="58">
        <v>0.15260318432905348</v>
      </c>
      <c r="F17" s="56">
        <v>2.6589999999999998</v>
      </c>
      <c r="G17" s="59">
        <v>0.8402255926966582</v>
      </c>
      <c r="H17" s="60">
        <v>1.2E-2</v>
      </c>
      <c r="I17" s="61">
        <f t="shared" si="4"/>
        <v>4.7981364038207561E-2</v>
      </c>
      <c r="J17" s="62">
        <f t="shared" si="5"/>
        <v>0.1597744073033418</v>
      </c>
      <c r="K17" s="63">
        <f t="shared" si="6"/>
        <v>0.27450000000000002</v>
      </c>
      <c r="L17" s="64">
        <f t="shared" si="0"/>
        <v>0.35990790947786833</v>
      </c>
      <c r="M17" s="65">
        <f>0.154*(1+$M$5)</f>
        <v>0.20020000000000002</v>
      </c>
      <c r="N17" s="66">
        <f t="shared" si="1"/>
        <v>3.1547650346654688E-2</v>
      </c>
      <c r="O17" s="67">
        <f t="shared" si="2"/>
        <v>0.12842988977881711</v>
      </c>
      <c r="P17" s="50" t="str">
        <f t="shared" si="3"/>
        <v xml:space="preserve"> k (mD) - 0.25</v>
      </c>
    </row>
    <row r="18" spans="1:34" x14ac:dyDescent="0.2">
      <c r="A18" s="3"/>
      <c r="B18" s="68"/>
      <c r="C18" s="69"/>
      <c r="D18" s="69"/>
      <c r="E18" s="70"/>
      <c r="F18" s="68"/>
      <c r="G18" s="68"/>
      <c r="H18" s="71"/>
      <c r="J18" s="3" t="s">
        <v>43</v>
      </c>
      <c r="K18" s="46">
        <f>AVERAGE(K12:K15)</f>
        <v>0.65043859983125307</v>
      </c>
      <c r="M18" s="72" t="s">
        <v>44</v>
      </c>
    </row>
    <row r="19" spans="1:34" x14ac:dyDescent="0.2">
      <c r="A19" s="73" t="s">
        <v>45</v>
      </c>
      <c r="B19" s="68"/>
      <c r="C19" s="69"/>
      <c r="D19" s="69"/>
      <c r="E19" s="70"/>
      <c r="F19" s="68"/>
      <c r="G19" s="68"/>
      <c r="H19" s="71"/>
      <c r="J19" s="3" t="s">
        <v>46</v>
      </c>
      <c r="K19" s="46">
        <f>AVERAGE(K17,K12,K11)</f>
        <v>0.43048608918743586</v>
      </c>
      <c r="M19" s="72" t="s">
        <v>47</v>
      </c>
    </row>
    <row r="20" spans="1:34" x14ac:dyDescent="0.2">
      <c r="A20" s="74" t="s">
        <v>48</v>
      </c>
      <c r="B20" s="68"/>
      <c r="C20" s="75"/>
      <c r="D20" s="75"/>
      <c r="E20" s="70"/>
      <c r="F20" s="68"/>
      <c r="G20" s="68"/>
      <c r="H20" s="71"/>
      <c r="M20" s="72" t="s">
        <v>49</v>
      </c>
    </row>
    <row r="21" spans="1:34" x14ac:dyDescent="0.2">
      <c r="A21" s="2" t="s">
        <v>50</v>
      </c>
      <c r="B21" s="68"/>
      <c r="C21" s="75"/>
      <c r="D21" s="75"/>
      <c r="E21" s="70"/>
      <c r="F21" s="68"/>
      <c r="G21" s="68"/>
      <c r="H21" s="71"/>
      <c r="M21" s="72" t="s">
        <v>51</v>
      </c>
    </row>
    <row r="22" spans="1:34" x14ac:dyDescent="0.2">
      <c r="A22" s="2" t="s">
        <v>52</v>
      </c>
      <c r="B22" s="68"/>
      <c r="C22" s="75"/>
      <c r="D22" s="75"/>
      <c r="E22" s="70"/>
      <c r="F22" s="68"/>
      <c r="G22" s="68"/>
      <c r="H22" s="71"/>
      <c r="M22" s="72" t="s">
        <v>53</v>
      </c>
    </row>
    <row r="23" spans="1:34" x14ac:dyDescent="0.2">
      <c r="A23" s="3"/>
      <c r="B23" s="68"/>
      <c r="C23" s="76"/>
      <c r="D23" s="76"/>
      <c r="E23" s="70"/>
      <c r="F23" s="68"/>
      <c r="G23" s="68"/>
      <c r="H23" s="68"/>
    </row>
    <row r="24" spans="1:34" x14ac:dyDescent="0.2">
      <c r="A24" s="3"/>
      <c r="B24" s="68"/>
      <c r="E24" s="70"/>
      <c r="F24" s="68"/>
      <c r="G24" s="68"/>
      <c r="H24" s="68"/>
    </row>
    <row r="25" spans="1:34" x14ac:dyDescent="0.2">
      <c r="A25" s="3"/>
      <c r="B25" s="68"/>
      <c r="E25" s="70"/>
      <c r="F25" s="68"/>
      <c r="G25" s="68"/>
      <c r="H25" s="68"/>
    </row>
    <row r="26" spans="1:34" x14ac:dyDescent="0.2">
      <c r="A26" s="3"/>
      <c r="B26" s="68"/>
      <c r="E26" s="70"/>
      <c r="F26" s="68"/>
      <c r="G26" s="68"/>
      <c r="H26" s="68"/>
    </row>
    <row r="27" spans="1:34" x14ac:dyDescent="0.2">
      <c r="A27" s="3"/>
      <c r="B27" s="68"/>
      <c r="E27" s="70"/>
      <c r="F27" s="68"/>
      <c r="G27" s="68"/>
      <c r="H27" s="71"/>
    </row>
    <row r="28" spans="1:34" x14ac:dyDescent="0.2">
      <c r="A28" s="3"/>
      <c r="B28" s="68"/>
      <c r="C28" s="75"/>
      <c r="D28" s="75"/>
      <c r="E28" s="70"/>
      <c r="F28" s="68"/>
      <c r="G28" s="68"/>
      <c r="H28" s="75"/>
    </row>
    <row r="29" spans="1:34" x14ac:dyDescent="0.2">
      <c r="E29" s="70"/>
      <c r="F29" s="68"/>
      <c r="G29" s="68"/>
      <c r="H29" s="75"/>
    </row>
    <row r="30" spans="1:34" x14ac:dyDescent="0.2">
      <c r="E30" s="70"/>
      <c r="F30" s="68"/>
      <c r="G30" s="68"/>
      <c r="H30" s="75"/>
    </row>
    <row r="31" spans="1:34" x14ac:dyDescent="0.2">
      <c r="E31" s="70"/>
      <c r="F31" s="68"/>
      <c r="G31" s="68"/>
      <c r="H31" s="75"/>
    </row>
    <row r="32" spans="1:34" x14ac:dyDescent="0.2">
      <c r="AH32" s="2" t="s">
        <v>92</v>
      </c>
    </row>
    <row r="33" spans="1:45" x14ac:dyDescent="0.2">
      <c r="K33" s="2" t="s">
        <v>54</v>
      </c>
      <c r="P33" s="2" t="s">
        <v>55</v>
      </c>
      <c r="S33" s="2" t="s">
        <v>56</v>
      </c>
      <c r="Y33" s="2" t="s">
        <v>56</v>
      </c>
      <c r="AE33" s="2" t="s">
        <v>90</v>
      </c>
      <c r="AH33" s="2" t="s">
        <v>91</v>
      </c>
      <c r="AK33" s="2" t="s">
        <v>93</v>
      </c>
      <c r="AQ33" s="77" t="s">
        <v>94</v>
      </c>
    </row>
    <row r="34" spans="1:45" x14ac:dyDescent="0.2">
      <c r="S34" s="2" t="s">
        <v>57</v>
      </c>
      <c r="Y34" s="2" t="s">
        <v>58</v>
      </c>
      <c r="AH34" s="21"/>
      <c r="AI34" s="21"/>
    </row>
    <row r="35" spans="1:45" x14ac:dyDescent="0.2">
      <c r="K35" s="71"/>
      <c r="L35" s="71"/>
      <c r="M35" s="71"/>
      <c r="P35" s="71"/>
      <c r="Q35" s="71"/>
      <c r="AH35" s="21"/>
      <c r="AI35" s="21"/>
    </row>
    <row r="36" spans="1:45" x14ac:dyDescent="0.2">
      <c r="K36" s="71" t="s">
        <v>28</v>
      </c>
      <c r="L36" s="71" t="s">
        <v>59</v>
      </c>
      <c r="M36" s="71"/>
      <c r="P36" s="71" t="s">
        <v>28</v>
      </c>
      <c r="Q36" s="71" t="s">
        <v>59</v>
      </c>
      <c r="S36" s="21" t="s">
        <v>60</v>
      </c>
      <c r="T36" s="21" t="s">
        <v>61</v>
      </c>
      <c r="U36" s="21" t="s">
        <v>62</v>
      </c>
      <c r="V36" s="21" t="s">
        <v>63</v>
      </c>
      <c r="W36" s="3" t="s">
        <v>64</v>
      </c>
      <c r="Y36" s="21" t="s">
        <v>60</v>
      </c>
      <c r="Z36" s="21" t="s">
        <v>61</v>
      </c>
      <c r="AA36" s="21" t="s">
        <v>62</v>
      </c>
      <c r="AB36" s="21" t="s">
        <v>63</v>
      </c>
      <c r="AC36" s="3" t="s">
        <v>64</v>
      </c>
      <c r="AD36" s="3"/>
      <c r="AE36" s="21" t="s">
        <v>89</v>
      </c>
      <c r="AF36" s="21" t="s">
        <v>20</v>
      </c>
      <c r="AG36" s="3"/>
      <c r="AH36" s="21" t="s">
        <v>89</v>
      </c>
      <c r="AI36" s="21" t="s">
        <v>20</v>
      </c>
      <c r="AK36" s="21" t="s">
        <v>26</v>
      </c>
      <c r="AL36" s="21" t="s">
        <v>20</v>
      </c>
      <c r="AM36" s="3" t="s">
        <v>9</v>
      </c>
      <c r="AN36" s="3" t="s">
        <v>11</v>
      </c>
      <c r="AO36" s="2" t="s">
        <v>13</v>
      </c>
      <c r="AQ36" s="21" t="s">
        <v>26</v>
      </c>
      <c r="AR36" s="21" t="s">
        <v>20</v>
      </c>
      <c r="AS36" s="21" t="s">
        <v>9</v>
      </c>
    </row>
    <row r="37" spans="1:45" ht="13.5" thickBot="1" x14ac:dyDescent="0.25">
      <c r="A37" s="21"/>
      <c r="B37" s="39" t="s">
        <v>65</v>
      </c>
      <c r="C37" s="21"/>
      <c r="D37" s="77" t="s">
        <v>66</v>
      </c>
      <c r="E37" s="70"/>
      <c r="F37" s="68"/>
      <c r="G37" s="68"/>
      <c r="H37" s="71"/>
      <c r="K37" s="21">
        <v>-3.3300000000000249</v>
      </c>
      <c r="L37" s="21">
        <v>0.91000000000000025</v>
      </c>
      <c r="M37" s="21"/>
      <c r="P37" s="21">
        <v>-0.80000000000000049</v>
      </c>
      <c r="Q37" s="21">
        <v>0.76008901098901061</v>
      </c>
      <c r="S37" s="21">
        <v>0.47</v>
      </c>
      <c r="T37" s="21">
        <v>0</v>
      </c>
      <c r="U37" s="21">
        <v>0</v>
      </c>
      <c r="V37" s="21">
        <v>0.31000000000000005</v>
      </c>
      <c r="W37" s="46">
        <f>K18</f>
        <v>0.65043859983125307</v>
      </c>
      <c r="Y37" s="21">
        <v>0.2</v>
      </c>
      <c r="Z37" s="21">
        <v>0</v>
      </c>
      <c r="AA37" s="21">
        <v>0</v>
      </c>
      <c r="AB37" s="21">
        <v>8.4999999999999853E-2</v>
      </c>
      <c r="AC37" s="46">
        <f>K19</f>
        <v>0.43048608918743586</v>
      </c>
      <c r="AD37" s="46"/>
      <c r="AE37" s="21" t="s">
        <v>34</v>
      </c>
      <c r="AF37" s="21" t="s">
        <v>34</v>
      </c>
      <c r="AG37" s="46"/>
      <c r="AH37" s="21" t="s">
        <v>34</v>
      </c>
      <c r="AI37" s="21" t="s">
        <v>34</v>
      </c>
      <c r="AK37" s="21" t="s">
        <v>34</v>
      </c>
      <c r="AL37" s="21" t="s">
        <v>34</v>
      </c>
      <c r="AM37" s="3" t="s">
        <v>29</v>
      </c>
      <c r="AN37" s="21" t="s">
        <v>34</v>
      </c>
      <c r="AO37" s="21" t="s">
        <v>34</v>
      </c>
      <c r="AQ37" s="21" t="s">
        <v>34</v>
      </c>
      <c r="AR37" s="21" t="s">
        <v>34</v>
      </c>
      <c r="AS37" s="21" t="s">
        <v>29</v>
      </c>
    </row>
    <row r="38" spans="1:45" x14ac:dyDescent="0.2">
      <c r="A38" s="21" t="s">
        <v>13</v>
      </c>
      <c r="B38" s="39" t="s">
        <v>67</v>
      </c>
      <c r="C38" s="21"/>
      <c r="D38" s="13" t="s">
        <v>68</v>
      </c>
      <c r="E38" s="78" t="s">
        <v>69</v>
      </c>
      <c r="F38" s="79" t="s">
        <v>70</v>
      </c>
      <c r="G38" s="13" t="s">
        <v>20</v>
      </c>
      <c r="H38" s="80" t="s">
        <v>27</v>
      </c>
      <c r="I38" s="81" t="s">
        <v>64</v>
      </c>
      <c r="J38" s="82" t="s">
        <v>71</v>
      </c>
      <c r="K38" s="81" t="s">
        <v>72</v>
      </c>
      <c r="L38" s="82" t="s">
        <v>73</v>
      </c>
      <c r="M38" s="83"/>
      <c r="N38" s="13" t="s">
        <v>74</v>
      </c>
      <c r="O38" s="80" t="s">
        <v>64</v>
      </c>
      <c r="P38" s="13" t="s">
        <v>75</v>
      </c>
      <c r="Q38" s="80" t="s">
        <v>72</v>
      </c>
      <c r="S38" s="13" t="s">
        <v>13</v>
      </c>
      <c r="T38" s="14" t="s">
        <v>26</v>
      </c>
      <c r="U38" s="14" t="s">
        <v>27</v>
      </c>
      <c r="V38" s="80" t="s">
        <v>76</v>
      </c>
      <c r="W38" s="20" t="s">
        <v>77</v>
      </c>
      <c r="X38" s="84"/>
      <c r="Y38" s="13" t="s">
        <v>13</v>
      </c>
      <c r="Z38" s="14" t="s">
        <v>26</v>
      </c>
      <c r="AA38" s="14" t="s">
        <v>27</v>
      </c>
      <c r="AB38" s="80" t="s">
        <v>76</v>
      </c>
      <c r="AC38" s="20" t="s">
        <v>77</v>
      </c>
      <c r="AE38" s="42">
        <f>(4.7708*LN(AF38*100)+15.351)/100</f>
        <v>0.20592259506777819</v>
      </c>
      <c r="AF38" s="21">
        <v>0.03</v>
      </c>
      <c r="AH38" s="21">
        <v>0.05</v>
      </c>
      <c r="AI38" s="21">
        <v>4.4999999999999998E-2</v>
      </c>
      <c r="AK38" s="3" t="e">
        <f>NA()</f>
        <v>#N/A</v>
      </c>
      <c r="AL38" s="3">
        <v>0.13</v>
      </c>
      <c r="AM38" s="21">
        <v>6.4000000000000001E-2</v>
      </c>
      <c r="AN38" s="21">
        <v>0.83099999999999996</v>
      </c>
      <c r="AO38" s="21">
        <f>1-AN38</f>
        <v>0.16900000000000004</v>
      </c>
      <c r="AQ38" s="21">
        <v>0.46400000000000002</v>
      </c>
      <c r="AR38" s="21">
        <v>0.14099999999999999</v>
      </c>
      <c r="AS38" s="21">
        <v>904</v>
      </c>
    </row>
    <row r="39" spans="1:45" ht="13.5" thickBot="1" x14ac:dyDescent="0.25">
      <c r="A39" s="21">
        <v>0</v>
      </c>
      <c r="B39" s="39">
        <f>0.1813*A39+0.096071</f>
        <v>9.6071000000000004E-2</v>
      </c>
      <c r="C39" s="21"/>
      <c r="D39" s="85" t="s">
        <v>34</v>
      </c>
      <c r="E39" s="86" t="s">
        <v>34</v>
      </c>
      <c r="F39" s="87"/>
      <c r="G39" s="27" t="s">
        <v>34</v>
      </c>
      <c r="H39" s="29" t="s">
        <v>34</v>
      </c>
      <c r="I39" s="85" t="s">
        <v>34</v>
      </c>
      <c r="J39" s="86" t="s">
        <v>34</v>
      </c>
      <c r="K39" s="85" t="s">
        <v>34</v>
      </c>
      <c r="L39" s="86" t="s">
        <v>34</v>
      </c>
      <c r="M39" s="83"/>
      <c r="N39" s="27" t="s">
        <v>34</v>
      </c>
      <c r="O39" s="29" t="s">
        <v>34</v>
      </c>
      <c r="P39" s="27" t="s">
        <v>34</v>
      </c>
      <c r="Q39" s="29" t="s">
        <v>34</v>
      </c>
      <c r="S39" s="85" t="s">
        <v>34</v>
      </c>
      <c r="T39" s="88" t="s">
        <v>34</v>
      </c>
      <c r="U39" s="88" t="s">
        <v>34</v>
      </c>
      <c r="V39" s="86" t="s">
        <v>34</v>
      </c>
      <c r="W39" s="89"/>
      <c r="X39" s="84"/>
      <c r="Y39" s="85" t="s">
        <v>34</v>
      </c>
      <c r="Z39" s="88" t="s">
        <v>34</v>
      </c>
      <c r="AA39" s="88" t="s">
        <v>34</v>
      </c>
      <c r="AB39" s="86" t="s">
        <v>34</v>
      </c>
      <c r="AC39" s="89"/>
      <c r="AD39" s="21"/>
      <c r="AE39" s="42">
        <f>(4.7708*LN(AF39*100)+15.351)/100</f>
        <v>0.24634548139113094</v>
      </c>
      <c r="AF39" s="21">
        <v>7.0000000000000007E-2</v>
      </c>
      <c r="AG39" s="21"/>
      <c r="AH39" s="21">
        <v>0.09</v>
      </c>
      <c r="AI39" s="21">
        <v>0.06</v>
      </c>
      <c r="AK39" s="3" t="e">
        <f>NA()</f>
        <v>#N/A</v>
      </c>
      <c r="AL39" s="3">
        <v>0.105</v>
      </c>
      <c r="AM39" s="21">
        <v>4.5999999999999999E-2</v>
      </c>
      <c r="AN39" s="21">
        <v>0.93600000000000005</v>
      </c>
      <c r="AO39" s="21">
        <f t="shared" ref="AO39:AO50" si="7">1-AN39</f>
        <v>6.3999999999999946E-2</v>
      </c>
      <c r="AQ39" s="21">
        <v>0.54800000000000004</v>
      </c>
      <c r="AR39" s="21">
        <v>0.13800000000000001</v>
      </c>
      <c r="AS39" s="21">
        <v>54.3</v>
      </c>
    </row>
    <row r="40" spans="1:45" ht="15" x14ac:dyDescent="0.25">
      <c r="A40" s="21">
        <v>0.1</v>
      </c>
      <c r="B40" s="39">
        <f t="shared" ref="B40:B49" si="8">0.1813*A40+0.096071</f>
        <v>0.114201</v>
      </c>
      <c r="C40" s="21"/>
      <c r="D40" s="90">
        <v>0.11605526004591001</v>
      </c>
      <c r="E40" s="91">
        <v>3.846473890293E-2</v>
      </c>
      <c r="F40" s="92" t="s">
        <v>78</v>
      </c>
      <c r="G40" s="90">
        <v>2.4179247779247699E-2</v>
      </c>
      <c r="H40" s="93">
        <v>0.91747238120952401</v>
      </c>
      <c r="I40" s="94">
        <v>2.0110701689740398E-2</v>
      </c>
      <c r="J40" s="95">
        <v>0.89779337859592601</v>
      </c>
      <c r="K40" s="96">
        <f>$L$37*EXP($K$37*L40)</f>
        <v>0.88019599081599365</v>
      </c>
      <c r="L40" s="80">
        <v>0.01</v>
      </c>
      <c r="M40" s="21"/>
      <c r="N40" s="97">
        <v>1.42384947876938E-2</v>
      </c>
      <c r="O40" s="98">
        <v>0.61584239858793599</v>
      </c>
      <c r="P40" s="13">
        <v>0</v>
      </c>
      <c r="Q40" s="15">
        <f>P40*$P$37+$Q$37</f>
        <v>0.76008901098901061</v>
      </c>
      <c r="S40" s="20">
        <v>0</v>
      </c>
      <c r="T40" s="21">
        <f t="shared" ref="T40:T90" si="9">IF(S40&lt;=$W$37,$S$37*S40+$T$37,$U$37*S40+$V$37)</f>
        <v>0</v>
      </c>
      <c r="U40" s="21">
        <f>V37</f>
        <v>0.31000000000000005</v>
      </c>
      <c r="V40" s="99">
        <f t="shared" ref="V40:V90" si="10">IF(S40&lt;$W$37,$U$40/$W$37*S40,$U$40)</f>
        <v>0</v>
      </c>
      <c r="W40" s="46">
        <f>T40-V40</f>
        <v>0</v>
      </c>
      <c r="X40" s="21"/>
      <c r="Y40" s="13">
        <v>0</v>
      </c>
      <c r="Z40" s="14">
        <f>IF(Y40&lt;=$AC$37,$Y$37*Y40+$Z$37,$AA$37*Y40+$AB$37)</f>
        <v>0</v>
      </c>
      <c r="AA40" s="14">
        <f>AB37</f>
        <v>8.4999999999999853E-2</v>
      </c>
      <c r="AB40" s="100">
        <f>IF(Y40&lt;$AC$37,$AA$40/$AC$37*Y40,$AA$40)</f>
        <v>0</v>
      </c>
      <c r="AC40" s="46">
        <f>Z40-AB40</f>
        <v>0</v>
      </c>
      <c r="AD40" s="21"/>
      <c r="AE40" s="42">
        <f t="shared" ref="AE40:AE44" si="11">(4.7708*LN(AF40*100)+15.351)/100</f>
        <v>0.26336172961655996</v>
      </c>
      <c r="AF40" s="21">
        <v>0.1</v>
      </c>
      <c r="AG40" s="21"/>
      <c r="AH40" s="21">
        <v>9.5000000000000001E-2</v>
      </c>
      <c r="AI40" s="21">
        <v>0.09</v>
      </c>
      <c r="AK40" s="3" t="e">
        <f>NA()</f>
        <v>#N/A</v>
      </c>
      <c r="AL40" s="3">
        <v>0.223</v>
      </c>
      <c r="AM40" s="21">
        <v>8.8999999999999996E-2</v>
      </c>
      <c r="AN40" s="21">
        <v>0.70199999999999996</v>
      </c>
      <c r="AO40" s="21">
        <f t="shared" si="7"/>
        <v>0.29800000000000004</v>
      </c>
      <c r="AQ40" s="21">
        <v>0.54300000000000004</v>
      </c>
      <c r="AR40" s="21">
        <v>0.14000000000000001</v>
      </c>
      <c r="AS40" s="21">
        <v>73.8</v>
      </c>
    </row>
    <row r="41" spans="1:45" ht="15" x14ac:dyDescent="0.25">
      <c r="A41" s="21">
        <v>0.2</v>
      </c>
      <c r="B41" s="39">
        <f t="shared" si="8"/>
        <v>0.132331</v>
      </c>
      <c r="C41" s="101"/>
      <c r="D41" s="90">
        <v>0.15321805829294799</v>
      </c>
      <c r="E41" s="91">
        <v>6.8279763736560903E-2</v>
      </c>
      <c r="F41" s="102" t="s">
        <v>79</v>
      </c>
      <c r="G41" s="90">
        <v>2.4179247779247699E-2</v>
      </c>
      <c r="H41" s="93">
        <v>0.84801575783289995</v>
      </c>
      <c r="I41" s="94">
        <v>1.9853924303837402E-2</v>
      </c>
      <c r="J41" s="95">
        <v>0.77431752024670697</v>
      </c>
      <c r="K41" s="94">
        <f t="shared" ref="K41:K50" si="12">$L$37*EXP($K$37*L41)</f>
        <v>0.65226087668168453</v>
      </c>
      <c r="L41" s="22">
        <v>0.1</v>
      </c>
      <c r="M41" s="21"/>
      <c r="N41" s="103">
        <v>6.8599757945588605E-2</v>
      </c>
      <c r="O41" s="104">
        <v>0.66712701008381203</v>
      </c>
      <c r="P41" s="20">
        <v>0.1</v>
      </c>
      <c r="Q41" s="84">
        <f t="shared" ref="Q41:Q50" si="13">P41*$P$37+$Q$37</f>
        <v>0.68008901098901053</v>
      </c>
      <c r="S41" s="20">
        <v>0.02</v>
      </c>
      <c r="T41" s="21">
        <f t="shared" si="9"/>
        <v>9.4000000000000004E-3</v>
      </c>
      <c r="U41" s="21"/>
      <c r="V41" s="99">
        <f t="shared" si="10"/>
        <v>9.5320296206413673E-3</v>
      </c>
      <c r="W41" s="46">
        <f t="shared" ref="W41:W90" si="14">T41-V41</f>
        <v>-1.3202962064136695E-4</v>
      </c>
      <c r="X41" s="21"/>
      <c r="Y41" s="20">
        <v>0.02</v>
      </c>
      <c r="Z41" s="21">
        <f>IF(Y41&lt;=$AC$37,$Y$37*Y41+$Z$37,$AA$37*Y41+$AB$37)</f>
        <v>4.0000000000000001E-3</v>
      </c>
      <c r="AA41" s="21"/>
      <c r="AB41" s="99">
        <f t="shared" ref="AB41:AB90" si="15">IF(Y41&lt;$AC$37,$AA$40/$AC$37*Y41,$AA$40)</f>
        <v>3.9490242372496468E-3</v>
      </c>
      <c r="AC41" s="46">
        <f t="shared" ref="AC41:AC90" si="16">Z41-AB41</f>
        <v>5.0975762750353308E-5</v>
      </c>
      <c r="AD41" s="21"/>
      <c r="AE41" s="42">
        <f t="shared" si="11"/>
        <v>0.27205992644808596</v>
      </c>
      <c r="AF41" s="21">
        <v>0.12</v>
      </c>
      <c r="AG41" s="21"/>
      <c r="AH41" s="21">
        <v>0.105</v>
      </c>
      <c r="AI41" s="21">
        <v>0.13</v>
      </c>
      <c r="AK41" s="3">
        <v>0.33100000000000002</v>
      </c>
      <c r="AL41" s="3">
        <v>0.217</v>
      </c>
      <c r="AM41" s="21">
        <v>5.75</v>
      </c>
      <c r="AN41" s="21">
        <v>0.23799999999999999</v>
      </c>
      <c r="AO41" s="21">
        <f t="shared" si="7"/>
        <v>0.76200000000000001</v>
      </c>
      <c r="AQ41" s="21">
        <v>0.50900000000000001</v>
      </c>
      <c r="AR41" s="21">
        <v>8.1000000000000003E-2</v>
      </c>
      <c r="AS41" s="21">
        <v>0.20300000000000001</v>
      </c>
    </row>
    <row r="42" spans="1:45" ht="15" x14ac:dyDescent="0.25">
      <c r="A42" s="21">
        <v>0.3</v>
      </c>
      <c r="B42" s="39">
        <f t="shared" si="8"/>
        <v>0.15046100000000001</v>
      </c>
      <c r="C42" s="21"/>
      <c r="D42" s="90">
        <v>0.27065250075358799</v>
      </c>
      <c r="E42" s="91">
        <v>0.119697911085722</v>
      </c>
      <c r="F42" s="105"/>
      <c r="G42" s="90">
        <v>2.7969759969759901E-2</v>
      </c>
      <c r="H42" s="93">
        <v>0.91743628109342401</v>
      </c>
      <c r="I42" s="94">
        <v>3.02639890509026E-2</v>
      </c>
      <c r="J42" s="95">
        <v>0.649359432651061</v>
      </c>
      <c r="K42" s="94">
        <f t="shared" si="12"/>
        <v>0.46752115521929627</v>
      </c>
      <c r="L42" s="22">
        <v>0.2</v>
      </c>
      <c r="M42" s="21"/>
      <c r="N42" s="103">
        <v>7.7093567251461895E-2</v>
      </c>
      <c r="O42" s="104">
        <v>0.72153407509780898</v>
      </c>
      <c r="P42" s="20">
        <v>0.2</v>
      </c>
      <c r="Q42" s="84">
        <f t="shared" si="13"/>
        <v>0.60008901098901046</v>
      </c>
      <c r="S42" s="20">
        <v>0.04</v>
      </c>
      <c r="T42" s="21">
        <f t="shared" si="9"/>
        <v>1.8800000000000001E-2</v>
      </c>
      <c r="U42" s="21"/>
      <c r="V42" s="99">
        <f t="shared" si="10"/>
        <v>1.9064059241282735E-2</v>
      </c>
      <c r="W42" s="46">
        <f t="shared" si="14"/>
        <v>-2.6405924128273389E-4</v>
      </c>
      <c r="X42" s="21"/>
      <c r="Y42" s="20">
        <v>0.04</v>
      </c>
      <c r="Z42" s="21">
        <f t="shared" ref="Z42:Z90" si="17">IF(Y42&lt;=$AC$37,$Y$37*Y42+$Z$37,$AA$37*Y42+$AB$37)</f>
        <v>8.0000000000000002E-3</v>
      </c>
      <c r="AA42" s="21"/>
      <c r="AB42" s="99">
        <f t="shared" si="15"/>
        <v>7.8980484744992936E-3</v>
      </c>
      <c r="AC42" s="46">
        <f t="shared" si="16"/>
        <v>1.0195152550070662E-4</v>
      </c>
      <c r="AD42" s="21"/>
      <c r="AE42" s="42">
        <f t="shared" si="11"/>
        <v>0.28867694221823398</v>
      </c>
      <c r="AF42" s="21">
        <v>0.17</v>
      </c>
      <c r="AG42" s="21"/>
      <c r="AH42" s="21">
        <v>0.11</v>
      </c>
      <c r="AI42" s="21">
        <v>0.16</v>
      </c>
      <c r="AK42" s="3">
        <v>0.30299999999999999</v>
      </c>
      <c r="AL42" s="3">
        <v>0.21199999999999999</v>
      </c>
      <c r="AM42" s="21">
        <v>610</v>
      </c>
      <c r="AN42" s="21">
        <v>9.8000000000000004E-2</v>
      </c>
      <c r="AO42" s="21">
        <f t="shared" si="7"/>
        <v>0.90200000000000002</v>
      </c>
      <c r="AQ42" s="21">
        <v>0.48599999999999999</v>
      </c>
      <c r="AR42" s="21">
        <v>0.16200000000000001</v>
      </c>
      <c r="AS42" s="21">
        <v>571</v>
      </c>
    </row>
    <row r="43" spans="1:45" ht="15" x14ac:dyDescent="0.25">
      <c r="A43" s="21">
        <v>0.4</v>
      </c>
      <c r="B43" s="39">
        <f t="shared" si="8"/>
        <v>0.16859099999999999</v>
      </c>
      <c r="C43" s="21"/>
      <c r="D43" s="90">
        <v>0.30038273935121801</v>
      </c>
      <c r="E43" s="91">
        <v>0.138642980097541</v>
      </c>
      <c r="F43" s="105"/>
      <c r="G43" s="90">
        <v>2.7969759969759901E-2</v>
      </c>
      <c r="H43" s="93">
        <v>0.84797965771679995</v>
      </c>
      <c r="I43" s="94">
        <v>3.1849502553034398E-2</v>
      </c>
      <c r="J43" s="95">
        <v>0.90295810877020999</v>
      </c>
      <c r="K43" s="94">
        <f t="shared" si="12"/>
        <v>0.33510522919843083</v>
      </c>
      <c r="L43" s="22">
        <v>0.3</v>
      </c>
      <c r="M43" s="21"/>
      <c r="N43" s="103">
        <v>9.6233585280724801E-2</v>
      </c>
      <c r="O43" s="104">
        <v>0.661331768257168</v>
      </c>
      <c r="P43" s="20">
        <v>0.3</v>
      </c>
      <c r="Q43" s="84">
        <f t="shared" si="13"/>
        <v>0.5200890109890105</v>
      </c>
      <c r="S43" s="20">
        <v>0.06</v>
      </c>
      <c r="T43" s="21">
        <f t="shared" si="9"/>
        <v>2.8199999999999996E-2</v>
      </c>
      <c r="U43" s="21"/>
      <c r="V43" s="99">
        <f t="shared" si="10"/>
        <v>2.85960888619241E-2</v>
      </c>
      <c r="W43" s="46">
        <f t="shared" si="14"/>
        <v>-3.9608886192410431E-4</v>
      </c>
      <c r="X43" s="21"/>
      <c r="Y43" s="20">
        <v>0.06</v>
      </c>
      <c r="Z43" s="21">
        <f t="shared" si="17"/>
        <v>1.2E-2</v>
      </c>
      <c r="AA43" s="21"/>
      <c r="AB43" s="99">
        <f t="shared" si="15"/>
        <v>1.1847072711748939E-2</v>
      </c>
      <c r="AC43" s="46">
        <f t="shared" si="16"/>
        <v>1.5292728825106079E-4</v>
      </c>
      <c r="AD43" s="21"/>
      <c r="AE43" s="42">
        <f t="shared" si="11"/>
        <v>0.29140385582571027</v>
      </c>
      <c r="AF43" s="21">
        <v>0.18</v>
      </c>
      <c r="AG43" s="21"/>
      <c r="AH43" s="21">
        <v>0.04</v>
      </c>
      <c r="AI43" s="21">
        <v>0.21</v>
      </c>
      <c r="AK43" s="3" t="e">
        <f>NA()</f>
        <v>#N/A</v>
      </c>
      <c r="AL43" s="3">
        <v>0.17899999999999999</v>
      </c>
      <c r="AM43" s="21">
        <v>375</v>
      </c>
      <c r="AN43" s="21">
        <v>0.108</v>
      </c>
      <c r="AO43" s="21">
        <f t="shared" si="7"/>
        <v>0.89200000000000002</v>
      </c>
      <c r="AQ43" s="21">
        <v>0.503</v>
      </c>
      <c r="AR43" s="21">
        <v>0.16600000000000001</v>
      </c>
      <c r="AS43" s="21">
        <v>194</v>
      </c>
    </row>
    <row r="44" spans="1:45" ht="15" x14ac:dyDescent="0.25">
      <c r="A44" s="21">
        <v>0.5</v>
      </c>
      <c r="B44" s="39">
        <f t="shared" si="8"/>
        <v>0.186721</v>
      </c>
      <c r="C44" s="21"/>
      <c r="D44" s="90">
        <v>0.31822088250979602</v>
      </c>
      <c r="E44" s="91">
        <v>0.13862315993847599</v>
      </c>
      <c r="F44" s="105"/>
      <c r="G44" s="90">
        <v>4.9629829629829599E-2</v>
      </c>
      <c r="H44" s="93">
        <v>0.81763107694472603</v>
      </c>
      <c r="I44" s="94">
        <v>3.1353634784439303E-2</v>
      </c>
      <c r="J44" s="95">
        <v>0.85773762861342395</v>
      </c>
      <c r="K44" s="94">
        <f t="shared" si="12"/>
        <v>0.24019344019514866</v>
      </c>
      <c r="L44" s="22">
        <v>0.4</v>
      </c>
      <c r="M44" s="21"/>
      <c r="N44" s="103">
        <v>9.0492397660818694E-2</v>
      </c>
      <c r="O44" s="104">
        <v>0.69915400367396496</v>
      </c>
      <c r="P44" s="20">
        <v>0.4</v>
      </c>
      <c r="Q44" s="84">
        <f t="shared" si="13"/>
        <v>0.44008901098901038</v>
      </c>
      <c r="S44" s="20">
        <v>0.08</v>
      </c>
      <c r="T44" s="21">
        <f t="shared" si="9"/>
        <v>3.7600000000000001E-2</v>
      </c>
      <c r="V44" s="99">
        <f t="shared" si="10"/>
        <v>3.8128118482565469E-2</v>
      </c>
      <c r="W44" s="46">
        <f t="shared" si="14"/>
        <v>-5.2811848256546778E-4</v>
      </c>
      <c r="Y44" s="20">
        <v>0.08</v>
      </c>
      <c r="Z44" s="21">
        <f t="shared" si="17"/>
        <v>1.6E-2</v>
      </c>
      <c r="AB44" s="99">
        <f t="shared" si="15"/>
        <v>1.5796096948998587E-2</v>
      </c>
      <c r="AC44" s="46">
        <f t="shared" si="16"/>
        <v>2.0390305100141323E-4</v>
      </c>
      <c r="AE44" s="42">
        <f t="shared" si="11"/>
        <v>0.29398329481807256</v>
      </c>
      <c r="AF44" s="21">
        <v>0.19</v>
      </c>
      <c r="AH44" s="21">
        <v>0.2</v>
      </c>
      <c r="AI44" s="21">
        <v>0.22</v>
      </c>
      <c r="AK44" s="3">
        <v>0.26900000000000002</v>
      </c>
      <c r="AL44" s="3">
        <v>0.32169999999999999</v>
      </c>
      <c r="AM44" s="21">
        <v>1150</v>
      </c>
      <c r="AN44" s="21">
        <v>0.06</v>
      </c>
      <c r="AO44" s="21">
        <f t="shared" si="7"/>
        <v>0.94</v>
      </c>
      <c r="AQ44" s="21">
        <v>0.59499999999999997</v>
      </c>
      <c r="AR44" s="21">
        <v>0.111</v>
      </c>
      <c r="AS44" s="21">
        <v>80</v>
      </c>
    </row>
    <row r="45" spans="1:45" ht="15" x14ac:dyDescent="0.25">
      <c r="A45" s="21">
        <v>0.6</v>
      </c>
      <c r="B45" s="39">
        <f t="shared" si="8"/>
        <v>0.20485100000000001</v>
      </c>
      <c r="C45" s="21"/>
      <c r="D45" s="90">
        <v>0.37636001576738398</v>
      </c>
      <c r="E45" s="91">
        <v>0.164181532372003</v>
      </c>
      <c r="F45" s="105"/>
      <c r="G45" s="90">
        <v>4.9449329049328999E-2</v>
      </c>
      <c r="H45" s="93">
        <v>0.90767109224751996</v>
      </c>
      <c r="I45" s="94">
        <v>6.0406116755277003E-2</v>
      </c>
      <c r="J45" s="95">
        <v>0.71339588507741303</v>
      </c>
      <c r="K45" s="94">
        <f t="shared" si="12"/>
        <v>0.17216349876360154</v>
      </c>
      <c r="L45" s="22">
        <v>0.5</v>
      </c>
      <c r="M45" s="21"/>
      <c r="N45" s="103">
        <v>0.150752911263666</v>
      </c>
      <c r="O45" s="104">
        <v>0.76087813756964395</v>
      </c>
      <c r="P45" s="20">
        <v>0.5</v>
      </c>
      <c r="Q45" s="84">
        <f t="shared" si="13"/>
        <v>0.36008901098901036</v>
      </c>
      <c r="S45" s="20">
        <v>0.1</v>
      </c>
      <c r="T45" s="21">
        <f t="shared" si="9"/>
        <v>4.7E-2</v>
      </c>
      <c r="V45" s="99">
        <f t="shared" si="10"/>
        <v>4.7660148103206838E-2</v>
      </c>
      <c r="W45" s="46">
        <f t="shared" si="14"/>
        <v>-6.601481032068382E-4</v>
      </c>
      <c r="Y45" s="20">
        <v>0.1</v>
      </c>
      <c r="Z45" s="21">
        <f t="shared" si="17"/>
        <v>2.0000000000000004E-2</v>
      </c>
      <c r="AB45" s="99">
        <f t="shared" si="15"/>
        <v>1.9745121186248233E-2</v>
      </c>
      <c r="AC45" s="46">
        <f t="shared" si="16"/>
        <v>2.5487881375177088E-4</v>
      </c>
      <c r="AH45" s="21">
        <v>0.09</v>
      </c>
      <c r="AI45" s="21">
        <v>0.25</v>
      </c>
      <c r="AK45" s="3" t="e">
        <f>NA()</f>
        <v>#N/A</v>
      </c>
      <c r="AL45" s="3">
        <v>0.109</v>
      </c>
      <c r="AM45" s="21">
        <v>6.36</v>
      </c>
      <c r="AN45" s="21">
        <v>0.192</v>
      </c>
      <c r="AO45" s="21">
        <f t="shared" si="7"/>
        <v>0.80800000000000005</v>
      </c>
      <c r="AQ45" s="21">
        <v>0.40200000000000002</v>
      </c>
      <c r="AR45" s="21">
        <v>0.16900000000000001</v>
      </c>
      <c r="AS45" s="21">
        <v>1900</v>
      </c>
    </row>
    <row r="46" spans="1:45" ht="15" x14ac:dyDescent="0.25">
      <c r="A46" s="21">
        <v>0.7</v>
      </c>
      <c r="B46" s="39">
        <f t="shared" si="8"/>
        <v>0.22298099999999998</v>
      </c>
      <c r="C46" s="21"/>
      <c r="D46" s="90">
        <v>0.40642059034943301</v>
      </c>
      <c r="E46" s="91">
        <v>0.182516209768049</v>
      </c>
      <c r="F46" s="105"/>
      <c r="G46" s="90">
        <v>4.9449329049328999E-2</v>
      </c>
      <c r="H46" s="93">
        <v>0.86504018356622003</v>
      </c>
      <c r="I46" s="94">
        <v>6.0736168868768502E-2</v>
      </c>
      <c r="J46" s="95">
        <v>0.64752189772757696</v>
      </c>
      <c r="K46" s="94">
        <f t="shared" si="12"/>
        <v>0.12340166443531082</v>
      </c>
      <c r="L46" s="22">
        <v>0.6</v>
      </c>
      <c r="M46" s="21"/>
      <c r="N46" s="103">
        <v>0.23836664124078299</v>
      </c>
      <c r="O46" s="104">
        <v>0.62133212350832501</v>
      </c>
      <c r="P46" s="20">
        <v>0.6</v>
      </c>
      <c r="Q46" s="84">
        <f t="shared" si="13"/>
        <v>0.28008901098901035</v>
      </c>
      <c r="S46" s="20">
        <v>0.12</v>
      </c>
      <c r="T46" s="21">
        <f t="shared" si="9"/>
        <v>5.6399999999999992E-2</v>
      </c>
      <c r="V46" s="99">
        <f t="shared" si="10"/>
        <v>5.71921777238482E-2</v>
      </c>
      <c r="W46" s="46">
        <f t="shared" si="14"/>
        <v>-7.9217772384820861E-4</v>
      </c>
      <c r="Y46" s="20">
        <v>0.12</v>
      </c>
      <c r="Z46" s="21">
        <f t="shared" si="17"/>
        <v>2.4E-2</v>
      </c>
      <c r="AB46" s="99">
        <f t="shared" si="15"/>
        <v>2.3694145423497879E-2</v>
      </c>
      <c r="AC46" s="46">
        <f t="shared" si="16"/>
        <v>3.0585457650212158E-4</v>
      </c>
      <c r="AH46" s="21">
        <v>0.15</v>
      </c>
      <c r="AI46" s="21">
        <v>0.25</v>
      </c>
      <c r="AK46" s="3">
        <v>0.27900000000000003</v>
      </c>
      <c r="AL46" s="3">
        <v>0.24399999999999999</v>
      </c>
      <c r="AM46" s="21">
        <v>251</v>
      </c>
      <c r="AN46" s="21">
        <v>0.13100000000000001</v>
      </c>
      <c r="AO46" s="21">
        <f t="shared" si="7"/>
        <v>0.86899999999999999</v>
      </c>
      <c r="AQ46" s="21">
        <v>0.49700000000000005</v>
      </c>
      <c r="AR46" s="21">
        <v>0.126</v>
      </c>
      <c r="AS46" s="21">
        <v>447</v>
      </c>
    </row>
    <row r="47" spans="1:45" ht="15" x14ac:dyDescent="0.25">
      <c r="A47" s="21">
        <v>0.8</v>
      </c>
      <c r="B47" s="39">
        <f t="shared" si="8"/>
        <v>0.24111100000000002</v>
      </c>
      <c r="C47" s="21"/>
      <c r="D47" s="90">
        <v>0.43383847705613598</v>
      </c>
      <c r="E47" s="91">
        <v>0.18966575865080601</v>
      </c>
      <c r="F47" s="105"/>
      <c r="G47" s="90">
        <v>5.2758506358506298E-2</v>
      </c>
      <c r="H47" s="93">
        <v>0.79911591997360298</v>
      </c>
      <c r="I47" s="94">
        <v>8.0632468284465797E-2</v>
      </c>
      <c r="J47" s="95">
        <v>0.72278309800602702</v>
      </c>
      <c r="K47" s="94">
        <f t="shared" si="12"/>
        <v>8.8450634976433934E-2</v>
      </c>
      <c r="L47" s="22">
        <v>0.7</v>
      </c>
      <c r="M47" s="21"/>
      <c r="N47" s="103">
        <v>0.27436297991355102</v>
      </c>
      <c r="O47" s="104">
        <v>0.62566551871723497</v>
      </c>
      <c r="P47" s="20">
        <v>0.7</v>
      </c>
      <c r="Q47" s="84">
        <f t="shared" si="13"/>
        <v>0.20008901098901033</v>
      </c>
      <c r="S47" s="20">
        <v>0.14000000000000001</v>
      </c>
      <c r="T47" s="21">
        <f t="shared" si="9"/>
        <v>6.5799999999999997E-2</v>
      </c>
      <c r="V47" s="99">
        <f t="shared" si="10"/>
        <v>6.6724207344489569E-2</v>
      </c>
      <c r="W47" s="46">
        <f t="shared" si="14"/>
        <v>-9.2420734448957209E-4</v>
      </c>
      <c r="Y47" s="20">
        <v>0.14000000000000001</v>
      </c>
      <c r="Z47" s="21">
        <f t="shared" si="17"/>
        <v>2.8000000000000004E-2</v>
      </c>
      <c r="AB47" s="99">
        <f t="shared" si="15"/>
        <v>2.7643169660747528E-2</v>
      </c>
      <c r="AC47" s="46">
        <f t="shared" si="16"/>
        <v>3.5683033925247576E-4</v>
      </c>
      <c r="AH47" s="21">
        <v>0.1</v>
      </c>
      <c r="AI47" s="21">
        <v>0.26</v>
      </c>
      <c r="AK47" s="3">
        <v>0.27900000000000003</v>
      </c>
      <c r="AL47" s="3">
        <v>0.27700000000000002</v>
      </c>
      <c r="AM47" s="21">
        <v>627</v>
      </c>
      <c r="AN47" s="21">
        <v>0.104</v>
      </c>
      <c r="AO47" s="21">
        <f t="shared" si="7"/>
        <v>0.89600000000000002</v>
      </c>
      <c r="AP47" s="21"/>
      <c r="AQ47" s="21">
        <v>0.502</v>
      </c>
      <c r="AR47" s="21">
        <v>0.14099999999999999</v>
      </c>
      <c r="AS47" s="21">
        <v>311</v>
      </c>
    </row>
    <row r="48" spans="1:45" ht="15" x14ac:dyDescent="0.25">
      <c r="A48" s="21">
        <v>0.9</v>
      </c>
      <c r="B48" s="39">
        <f t="shared" si="8"/>
        <v>0.259241</v>
      </c>
      <c r="C48" s="21"/>
      <c r="D48" s="90">
        <v>0.45943951584853998</v>
      </c>
      <c r="E48" s="91">
        <v>0.197708705791422</v>
      </c>
      <c r="F48" s="105"/>
      <c r="G48" s="90">
        <v>5.2698339498339498E-2</v>
      </c>
      <c r="H48" s="93">
        <v>0.72629841459698596</v>
      </c>
      <c r="I48" s="94">
        <v>7.0516923724798106E-2</v>
      </c>
      <c r="J48" s="95">
        <v>0.66874732974032403</v>
      </c>
      <c r="K48" s="94">
        <f t="shared" si="12"/>
        <v>6.3398778805253214E-2</v>
      </c>
      <c r="L48" s="22">
        <v>0.8</v>
      </c>
      <c r="M48" s="21"/>
      <c r="N48" s="103">
        <v>0.29745497076023297</v>
      </c>
      <c r="O48" s="104">
        <v>0.34051372782405198</v>
      </c>
      <c r="P48" s="20">
        <v>0.8</v>
      </c>
      <c r="Q48" s="84">
        <f t="shared" si="13"/>
        <v>0.12008901098901015</v>
      </c>
      <c r="S48" s="20">
        <v>0.16</v>
      </c>
      <c r="T48" s="21">
        <f t="shared" si="9"/>
        <v>7.5200000000000003E-2</v>
      </c>
      <c r="V48" s="99">
        <f t="shared" si="10"/>
        <v>7.6256236965130939E-2</v>
      </c>
      <c r="W48" s="46">
        <f t="shared" si="14"/>
        <v>-1.0562369651309356E-3</v>
      </c>
      <c r="Y48" s="20">
        <v>0.16</v>
      </c>
      <c r="Z48" s="21">
        <f t="shared" si="17"/>
        <v>3.2000000000000001E-2</v>
      </c>
      <c r="AB48" s="99">
        <f t="shared" si="15"/>
        <v>3.1592193897997174E-2</v>
      </c>
      <c r="AC48" s="46">
        <f t="shared" si="16"/>
        <v>4.0780610200282646E-4</v>
      </c>
      <c r="AK48" s="3">
        <v>0.35</v>
      </c>
      <c r="AL48" s="3">
        <v>0.26700000000000002</v>
      </c>
      <c r="AM48" s="21">
        <v>318</v>
      </c>
      <c r="AN48" s="21">
        <v>0.12</v>
      </c>
      <c r="AO48" s="21">
        <f t="shared" si="7"/>
        <v>0.88</v>
      </c>
      <c r="AP48" s="21"/>
      <c r="AQ48" s="21">
        <v>0.56100000000000005</v>
      </c>
      <c r="AR48" s="21">
        <v>0.10100000000000001</v>
      </c>
      <c r="AS48" s="21">
        <v>83.5</v>
      </c>
    </row>
    <row r="49" spans="1:45" ht="15" x14ac:dyDescent="0.25">
      <c r="A49" s="21">
        <v>1</v>
      </c>
      <c r="B49" s="39">
        <f t="shared" si="8"/>
        <v>0.27737099999999998</v>
      </c>
      <c r="C49" s="21"/>
      <c r="D49" s="90">
        <v>0.61403675655621703</v>
      </c>
      <c r="E49" s="91">
        <v>0.249961802366653</v>
      </c>
      <c r="F49" s="105"/>
      <c r="G49" s="90">
        <v>5.5080947160947101E-2</v>
      </c>
      <c r="H49" s="93">
        <v>0.83350973018889996</v>
      </c>
      <c r="I49" s="94">
        <v>8.0117334315944505E-2</v>
      </c>
      <c r="J49" s="95">
        <v>0.61591457618814305</v>
      </c>
      <c r="K49" s="94">
        <f t="shared" si="12"/>
        <v>4.5442354993475459E-2</v>
      </c>
      <c r="L49" s="22">
        <v>0.9</v>
      </c>
      <c r="M49" s="21"/>
      <c r="N49" s="103">
        <v>0.29745497076023297</v>
      </c>
      <c r="O49" s="104">
        <v>0.22056032276901799</v>
      </c>
      <c r="P49" s="20">
        <v>0.9</v>
      </c>
      <c r="Q49" s="84">
        <f t="shared" si="13"/>
        <v>4.0089010989010188E-2</v>
      </c>
      <c r="S49" s="20">
        <v>0.18</v>
      </c>
      <c r="T49" s="21">
        <f t="shared" si="9"/>
        <v>8.4599999999999995E-2</v>
      </c>
      <c r="V49" s="99">
        <f t="shared" si="10"/>
        <v>8.5788266585772294E-2</v>
      </c>
      <c r="W49" s="46">
        <f t="shared" si="14"/>
        <v>-1.188266585772299E-3</v>
      </c>
      <c r="Y49" s="20">
        <v>0.18</v>
      </c>
      <c r="Z49" s="21">
        <f t="shared" si="17"/>
        <v>3.5999999999999997E-2</v>
      </c>
      <c r="AB49" s="99">
        <f t="shared" si="15"/>
        <v>3.554121813524682E-2</v>
      </c>
      <c r="AC49" s="46">
        <f t="shared" si="16"/>
        <v>4.5878186475317717E-4</v>
      </c>
      <c r="AK49" s="3">
        <v>0.39</v>
      </c>
      <c r="AL49" s="3">
        <v>0.24299999999999999</v>
      </c>
      <c r="AM49" s="21">
        <v>9.06</v>
      </c>
      <c r="AN49" s="21">
        <v>0.221</v>
      </c>
      <c r="AO49" s="21">
        <f t="shared" si="7"/>
        <v>0.77900000000000003</v>
      </c>
      <c r="AP49" s="21"/>
      <c r="AQ49" s="21">
        <v>0.48399999999999999</v>
      </c>
      <c r="AR49" s="21">
        <v>0.157</v>
      </c>
      <c r="AS49" s="21">
        <v>98.4</v>
      </c>
    </row>
    <row r="50" spans="1:45" ht="15.75" thickBot="1" x14ac:dyDescent="0.3">
      <c r="D50" s="90">
        <v>0.69975894451271803</v>
      </c>
      <c r="E50" s="91">
        <v>0.25221744658025502</v>
      </c>
      <c r="F50" s="105"/>
      <c r="G50" s="90">
        <v>5.5225347625347601E-2</v>
      </c>
      <c r="H50" s="93">
        <v>0.90368847586776102</v>
      </c>
      <c r="I50" s="94">
        <v>9.0171132284044705E-2</v>
      </c>
      <c r="J50" s="95">
        <v>0.52895558147042598</v>
      </c>
      <c r="K50" s="106">
        <f t="shared" si="12"/>
        <v>3.2571725611565523E-2</v>
      </c>
      <c r="L50" s="29">
        <v>1</v>
      </c>
      <c r="M50" s="21"/>
      <c r="N50" s="103">
        <v>0.33548883803712098</v>
      </c>
      <c r="O50" s="104">
        <v>0.13613349650603601</v>
      </c>
      <c r="P50" s="27">
        <v>1</v>
      </c>
      <c r="Q50" s="107">
        <f t="shared" si="13"/>
        <v>-3.9910989010989883E-2</v>
      </c>
      <c r="S50" s="20">
        <v>0.2</v>
      </c>
      <c r="T50" s="21">
        <f t="shared" si="9"/>
        <v>9.4E-2</v>
      </c>
      <c r="V50" s="99">
        <f t="shared" si="10"/>
        <v>9.5320296206413677E-2</v>
      </c>
      <c r="W50" s="46">
        <f t="shared" si="14"/>
        <v>-1.3202962064136764E-3</v>
      </c>
      <c r="Y50" s="20">
        <v>0.2</v>
      </c>
      <c r="Z50" s="21">
        <f t="shared" si="17"/>
        <v>4.0000000000000008E-2</v>
      </c>
      <c r="AB50" s="99">
        <f t="shared" si="15"/>
        <v>3.9490242372496466E-2</v>
      </c>
      <c r="AC50" s="46">
        <f t="shared" si="16"/>
        <v>5.0975762750354175E-4</v>
      </c>
      <c r="AK50" s="3">
        <v>0.373</v>
      </c>
      <c r="AL50" s="3">
        <v>0.22500000000000001</v>
      </c>
      <c r="AM50" s="21">
        <v>20.100000000000001</v>
      </c>
      <c r="AN50" s="21">
        <v>0.17399999999999999</v>
      </c>
      <c r="AO50" s="21">
        <f t="shared" si="7"/>
        <v>0.82600000000000007</v>
      </c>
      <c r="AQ50" s="21">
        <v>0.504</v>
      </c>
      <c r="AR50" s="21">
        <v>0.13900000000000001</v>
      </c>
      <c r="AS50" s="21">
        <v>321</v>
      </c>
    </row>
    <row r="51" spans="1:45" ht="15" x14ac:dyDescent="0.25">
      <c r="D51" s="90">
        <v>0.76566097340413197</v>
      </c>
      <c r="E51" s="91">
        <v>0.27107494051955</v>
      </c>
      <c r="F51" s="105"/>
      <c r="G51" s="90">
        <v>5.3059340659340599E-2</v>
      </c>
      <c r="H51" s="93">
        <v>0.86758545886545801</v>
      </c>
      <c r="I51" s="94">
        <v>0.10014470705900901</v>
      </c>
      <c r="J51" s="95">
        <v>0.508472263470646</v>
      </c>
      <c r="K51" s="108"/>
      <c r="L51" s="108"/>
      <c r="M51" s="108"/>
      <c r="N51" s="103">
        <v>0.33684719043986699</v>
      </c>
      <c r="O51" s="104">
        <v>0.350871713679897</v>
      </c>
      <c r="S51" s="20">
        <v>0.22</v>
      </c>
      <c r="T51" s="21">
        <f t="shared" si="9"/>
        <v>0.10339999999999999</v>
      </c>
      <c r="V51" s="99">
        <f t="shared" si="10"/>
        <v>0.10485232582705503</v>
      </c>
      <c r="W51" s="46">
        <f t="shared" si="14"/>
        <v>-1.4523258270550399E-3</v>
      </c>
      <c r="Y51" s="20">
        <v>0.22</v>
      </c>
      <c r="Z51" s="21">
        <f t="shared" si="17"/>
        <v>4.4000000000000004E-2</v>
      </c>
      <c r="AB51" s="99">
        <f t="shared" si="15"/>
        <v>4.3439266609746112E-2</v>
      </c>
      <c r="AC51" s="46">
        <f t="shared" si="16"/>
        <v>5.6073339025389246E-4</v>
      </c>
      <c r="AQ51" s="21">
        <v>0.63600000000000001</v>
      </c>
      <c r="AR51" s="21">
        <v>9.6000000000000002E-2</v>
      </c>
      <c r="AS51" s="21">
        <v>44.4</v>
      </c>
    </row>
    <row r="52" spans="1:45" ht="15" x14ac:dyDescent="0.25">
      <c r="D52" s="90">
        <v>0.80431028358105106</v>
      </c>
      <c r="E52" s="91">
        <v>0.26135707248514001</v>
      </c>
      <c r="F52" s="105"/>
      <c r="G52" s="90">
        <v>5.6826562452368903E-2</v>
      </c>
      <c r="H52" s="93">
        <v>0.11052499286477099</v>
      </c>
      <c r="I52" s="94">
        <v>0.14012396694214799</v>
      </c>
      <c r="J52" s="95">
        <v>0.66824228319451195</v>
      </c>
      <c r="K52" s="108"/>
      <c r="L52" s="108"/>
      <c r="M52" s="108"/>
      <c r="N52" s="103">
        <v>0.35586412407831097</v>
      </c>
      <c r="O52" s="104">
        <v>0.651106668172168</v>
      </c>
      <c r="S52" s="20">
        <v>0.24</v>
      </c>
      <c r="T52" s="21">
        <f t="shared" si="9"/>
        <v>0.11279999999999998</v>
      </c>
      <c r="V52" s="99">
        <f t="shared" si="10"/>
        <v>0.1143843554476964</v>
      </c>
      <c r="W52" s="46">
        <f t="shared" si="14"/>
        <v>-1.5843554476964172E-3</v>
      </c>
      <c r="Y52" s="20">
        <v>0.24</v>
      </c>
      <c r="Z52" s="21">
        <f t="shared" si="17"/>
        <v>4.8000000000000001E-2</v>
      </c>
      <c r="AB52" s="99">
        <f t="shared" si="15"/>
        <v>4.7388290846995758E-2</v>
      </c>
      <c r="AC52" s="46">
        <f t="shared" si="16"/>
        <v>6.1170915300424317E-4</v>
      </c>
      <c r="AQ52" s="21">
        <v>0.52400000000000002</v>
      </c>
      <c r="AR52" s="21">
        <v>0.14000000000000001</v>
      </c>
      <c r="AS52" s="21">
        <v>1290</v>
      </c>
    </row>
    <row r="53" spans="1:45" ht="15" x14ac:dyDescent="0.25">
      <c r="D53" s="90">
        <v>0.85527640689127404</v>
      </c>
      <c r="E53" s="91">
        <v>0.262531302865181</v>
      </c>
      <c r="F53" s="105"/>
      <c r="G53" s="90">
        <v>5.59473499473499E-2</v>
      </c>
      <c r="H53" s="93">
        <v>0.137849976278547</v>
      </c>
      <c r="I53" s="94">
        <v>0.149641785545085</v>
      </c>
      <c r="J53" s="95">
        <v>0.56967941003025302</v>
      </c>
      <c r="K53" s="108"/>
      <c r="L53" s="108"/>
      <c r="M53" s="108"/>
      <c r="N53" s="103">
        <v>0.468607373506229</v>
      </c>
      <c r="O53" s="104">
        <v>0.64627640310811596</v>
      </c>
      <c r="S53" s="20">
        <v>0.26</v>
      </c>
      <c r="T53" s="21">
        <f t="shared" si="9"/>
        <v>0.1222</v>
      </c>
      <c r="V53" s="99">
        <f t="shared" si="10"/>
        <v>0.12391638506833777</v>
      </c>
      <c r="W53" s="46">
        <f t="shared" si="14"/>
        <v>-1.7163850683377668E-3</v>
      </c>
      <c r="Y53" s="20">
        <v>0.26</v>
      </c>
      <c r="Z53" s="21">
        <f t="shared" si="17"/>
        <v>5.2000000000000005E-2</v>
      </c>
      <c r="AB53" s="99">
        <f t="shared" si="15"/>
        <v>5.1337315084245404E-2</v>
      </c>
      <c r="AC53" s="46">
        <f t="shared" si="16"/>
        <v>6.6268491575460081E-4</v>
      </c>
      <c r="AQ53" s="21">
        <v>0.51700000000000002</v>
      </c>
      <c r="AR53" s="21">
        <v>0.11900000000000001</v>
      </c>
      <c r="AS53" s="21">
        <v>99.8</v>
      </c>
    </row>
    <row r="54" spans="1:45" ht="15" x14ac:dyDescent="0.25">
      <c r="D54" s="90">
        <v>0.88606843972453397</v>
      </c>
      <c r="E54" s="91">
        <v>0.26791100848726501</v>
      </c>
      <c r="F54" s="105"/>
      <c r="G54" s="90">
        <v>5.7571855171855098E-2</v>
      </c>
      <c r="H54" s="93">
        <v>8.3524202759402699E-2</v>
      </c>
      <c r="I54" s="94">
        <v>0.14984076433120999</v>
      </c>
      <c r="J54" s="95">
        <v>0.47767025967662902</v>
      </c>
      <c r="K54" s="108"/>
      <c r="L54" s="108"/>
      <c r="M54" s="108"/>
      <c r="N54" s="103">
        <v>0.468607373506229</v>
      </c>
      <c r="O54" s="104">
        <v>0.54652670399850301</v>
      </c>
      <c r="S54" s="20">
        <v>0.28000000000000003</v>
      </c>
      <c r="T54" s="21">
        <f t="shared" si="9"/>
        <v>0.13159999999999999</v>
      </c>
      <c r="V54" s="99">
        <f t="shared" si="10"/>
        <v>0.13344841468897914</v>
      </c>
      <c r="W54" s="46">
        <f t="shared" si="14"/>
        <v>-1.8484146889791442E-3</v>
      </c>
      <c r="Y54" s="20">
        <v>0.28000000000000003</v>
      </c>
      <c r="Z54" s="21">
        <f t="shared" si="17"/>
        <v>5.6000000000000008E-2</v>
      </c>
      <c r="AB54" s="99">
        <f t="shared" si="15"/>
        <v>5.5286339321495057E-2</v>
      </c>
      <c r="AC54" s="46">
        <f t="shared" si="16"/>
        <v>7.1366067850495152E-4</v>
      </c>
      <c r="AQ54" s="21">
        <v>0.43200000000000005</v>
      </c>
      <c r="AR54" s="21">
        <v>0.16699999999999998</v>
      </c>
      <c r="AS54" s="21">
        <v>852</v>
      </c>
    </row>
    <row r="55" spans="1:45" ht="15" x14ac:dyDescent="0.25">
      <c r="D55" s="90">
        <v>0.91282565446240105</v>
      </c>
      <c r="E55" s="91">
        <v>0.267731676088452</v>
      </c>
      <c r="F55" s="105"/>
      <c r="G55" s="90">
        <v>5.8753313516949797E-2</v>
      </c>
      <c r="H55" s="93">
        <v>4.8158811774141302E-2</v>
      </c>
      <c r="I55" s="94">
        <v>0.14984076433120999</v>
      </c>
      <c r="J55" s="95">
        <v>0.417974440633676</v>
      </c>
      <c r="K55" s="108"/>
      <c r="L55" s="108"/>
      <c r="M55" s="108"/>
      <c r="N55" s="103">
        <v>0.50120783117213297</v>
      </c>
      <c r="O55" s="104">
        <v>0.49650948966081498</v>
      </c>
      <c r="S55" s="20">
        <v>0.3</v>
      </c>
      <c r="T55" s="21">
        <f t="shared" si="9"/>
        <v>0.14099999999999999</v>
      </c>
      <c r="V55" s="99">
        <f t="shared" si="10"/>
        <v>0.14298044430962051</v>
      </c>
      <c r="W55" s="46">
        <f t="shared" si="14"/>
        <v>-1.9804443096205215E-3</v>
      </c>
      <c r="Y55" s="20">
        <v>0.3</v>
      </c>
      <c r="Z55" s="21">
        <f t="shared" si="17"/>
        <v>0.06</v>
      </c>
      <c r="AB55" s="99">
        <f t="shared" si="15"/>
        <v>5.9235363558744696E-2</v>
      </c>
      <c r="AC55" s="46">
        <f t="shared" si="16"/>
        <v>7.6463644125530222E-4</v>
      </c>
      <c r="AQ55" s="21">
        <v>0.51900000000000002</v>
      </c>
      <c r="AR55" s="21">
        <v>0.13500000000000001</v>
      </c>
      <c r="AS55" s="21">
        <v>259</v>
      </c>
    </row>
    <row r="56" spans="1:45" ht="15" x14ac:dyDescent="0.25">
      <c r="D56" s="90">
        <v>0.95333310455167297</v>
      </c>
      <c r="E56" s="91">
        <v>0.27297617276107</v>
      </c>
      <c r="F56" s="105"/>
      <c r="G56" s="90">
        <v>5.6789685989685902E-2</v>
      </c>
      <c r="H56" s="93">
        <v>2.4561508761508699E-2</v>
      </c>
      <c r="I56" s="94">
        <v>0.16222956256251</v>
      </c>
      <c r="J56" s="95">
        <v>0.57360352008119797</v>
      </c>
      <c r="K56" s="108"/>
      <c r="L56" s="108"/>
      <c r="M56" s="108"/>
      <c r="N56" s="103">
        <v>0.541094533435036</v>
      </c>
      <c r="O56" s="104">
        <v>0.267104609218829</v>
      </c>
      <c r="S56" s="20">
        <v>0.32</v>
      </c>
      <c r="T56" s="21">
        <f t="shared" si="9"/>
        <v>0.15040000000000001</v>
      </c>
      <c r="V56" s="99">
        <f t="shared" si="10"/>
        <v>0.15251247393026188</v>
      </c>
      <c r="W56" s="46">
        <f t="shared" si="14"/>
        <v>-2.1124739302618711E-3</v>
      </c>
      <c r="Y56" s="20">
        <v>0.32</v>
      </c>
      <c r="Z56" s="21">
        <f t="shared" si="17"/>
        <v>6.4000000000000001E-2</v>
      </c>
      <c r="AB56" s="99">
        <f t="shared" si="15"/>
        <v>6.3184387795994348E-2</v>
      </c>
      <c r="AC56" s="46">
        <f t="shared" si="16"/>
        <v>8.1561220400565293E-4</v>
      </c>
      <c r="AQ56" s="21">
        <v>0.52900000000000003</v>
      </c>
      <c r="AR56" s="21">
        <v>8.900000000000001E-2</v>
      </c>
      <c r="AS56" s="21">
        <v>4.25</v>
      </c>
    </row>
    <row r="57" spans="1:45" ht="15" x14ac:dyDescent="0.25">
      <c r="D57" s="90">
        <v>0.98417822709671399</v>
      </c>
      <c r="E57" s="91">
        <v>0.27290271888453399</v>
      </c>
      <c r="F57" s="105"/>
      <c r="G57" s="90">
        <v>5.8534524934524899E-2</v>
      </c>
      <c r="H57" s="93">
        <v>0.78582262962810601</v>
      </c>
      <c r="I57" s="94">
        <v>0.19009606780017901</v>
      </c>
      <c r="J57" s="95">
        <v>0.42830492069439202</v>
      </c>
      <c r="K57" s="108"/>
      <c r="L57" s="108"/>
      <c r="M57" s="108"/>
      <c r="N57" s="103">
        <v>0.56253744215611501</v>
      </c>
      <c r="O57" s="104">
        <v>0.20729136202020901</v>
      </c>
      <c r="S57" s="20">
        <v>0.34</v>
      </c>
      <c r="T57" s="21">
        <f t="shared" si="9"/>
        <v>0.1598</v>
      </c>
      <c r="V57" s="99">
        <f t="shared" si="10"/>
        <v>0.16204450355090325</v>
      </c>
      <c r="W57" s="46">
        <f t="shared" si="14"/>
        <v>-2.2445035509032485E-3</v>
      </c>
      <c r="Y57" s="20">
        <v>0.34</v>
      </c>
      <c r="Z57" s="21">
        <f t="shared" si="17"/>
        <v>6.8000000000000005E-2</v>
      </c>
      <c r="AB57" s="99">
        <f t="shared" si="15"/>
        <v>6.7133412033243994E-2</v>
      </c>
      <c r="AC57" s="46">
        <f t="shared" si="16"/>
        <v>8.6658796675601057E-4</v>
      </c>
      <c r="AQ57" s="21">
        <v>0.46600000000000003</v>
      </c>
      <c r="AR57" s="21">
        <v>0.154</v>
      </c>
      <c r="AS57" s="21">
        <v>2220</v>
      </c>
    </row>
    <row r="58" spans="1:45" ht="15" x14ac:dyDescent="0.25">
      <c r="D58" s="90">
        <v>1.0094489299047</v>
      </c>
      <c r="E58" s="91">
        <v>0.27021029709153499</v>
      </c>
      <c r="F58" s="105"/>
      <c r="G58" s="90">
        <v>5.85564037927674E-2</v>
      </c>
      <c r="H58" s="93">
        <v>0.73688850477006296</v>
      </c>
      <c r="I58" s="94">
        <v>0.202103253145233</v>
      </c>
      <c r="J58" s="95">
        <v>0.54262093345809403</v>
      </c>
      <c r="K58" s="108"/>
      <c r="L58" s="108"/>
      <c r="M58" s="108"/>
      <c r="N58" s="103">
        <v>0.55461698449021002</v>
      </c>
      <c r="O58" s="104">
        <v>0.25644784469964799</v>
      </c>
      <c r="S58" s="20">
        <v>0.36</v>
      </c>
      <c r="T58" s="21">
        <f t="shared" si="9"/>
        <v>0.16919999999999999</v>
      </c>
      <c r="V58" s="99">
        <f t="shared" si="10"/>
        <v>0.17157653317154459</v>
      </c>
      <c r="W58" s="46">
        <f t="shared" si="14"/>
        <v>-2.3765331715445981E-3</v>
      </c>
      <c r="Y58" s="20">
        <v>0.36</v>
      </c>
      <c r="Z58" s="21">
        <f t="shared" si="17"/>
        <v>7.1999999999999995E-2</v>
      </c>
      <c r="AB58" s="99">
        <f t="shared" si="15"/>
        <v>7.108243627049364E-2</v>
      </c>
      <c r="AC58" s="46">
        <f t="shared" si="16"/>
        <v>9.1756372950635434E-4</v>
      </c>
      <c r="AQ58" s="21">
        <v>0.39100000000000001</v>
      </c>
      <c r="AR58" s="21">
        <v>0.17300000000000001</v>
      </c>
      <c r="AS58" s="21">
        <v>6635</v>
      </c>
    </row>
    <row r="59" spans="1:45" ht="15" x14ac:dyDescent="0.25">
      <c r="D59" s="90">
        <v>0.50857699353073405</v>
      </c>
      <c r="E59" s="91">
        <v>0.218870900673205</v>
      </c>
      <c r="F59" s="105"/>
      <c r="G59" s="90">
        <v>6.0640365040364998E-2</v>
      </c>
      <c r="H59" s="93">
        <v>0.82691411905298695</v>
      </c>
      <c r="I59" s="94">
        <v>0.21994051692372399</v>
      </c>
      <c r="J59" s="95">
        <v>0.45712365262126298</v>
      </c>
      <c r="K59" s="108"/>
      <c r="L59" s="108"/>
      <c r="M59" s="108"/>
      <c r="N59" s="103">
        <v>0.62889295703025605</v>
      </c>
      <c r="O59" s="104">
        <v>0.36805055779983697</v>
      </c>
      <c r="S59" s="20">
        <v>0.38</v>
      </c>
      <c r="T59" s="21">
        <f t="shared" si="9"/>
        <v>0.17859999999999998</v>
      </c>
      <c r="V59" s="99">
        <f t="shared" si="10"/>
        <v>0.18110856279218598</v>
      </c>
      <c r="W59" s="46">
        <f t="shared" si="14"/>
        <v>-2.5085627921860032E-3</v>
      </c>
      <c r="Y59" s="20">
        <v>0.38</v>
      </c>
      <c r="Z59" s="21">
        <f t="shared" si="17"/>
        <v>7.6000000000000012E-2</v>
      </c>
      <c r="AB59" s="99">
        <f t="shared" si="15"/>
        <v>7.5031460507743286E-2</v>
      </c>
      <c r="AC59" s="46">
        <f t="shared" si="16"/>
        <v>9.6853949225672586E-4</v>
      </c>
      <c r="AQ59" s="21">
        <v>0.49399999999999999</v>
      </c>
      <c r="AR59" s="21">
        <v>0.12</v>
      </c>
      <c r="AS59" s="21">
        <v>9.3699999999999992</v>
      </c>
    </row>
    <row r="60" spans="1:45" ht="15" x14ac:dyDescent="0.25">
      <c r="D60" s="90">
        <v>0.50857699353073405</v>
      </c>
      <c r="E60" s="91">
        <v>0.230298843467484</v>
      </c>
      <c r="F60" s="105"/>
      <c r="G60" s="90">
        <v>5.8293857493857501E-2</v>
      </c>
      <c r="H60" s="93">
        <v>0.903090782576496</v>
      </c>
      <c r="I60" s="94">
        <v>0.24006816865820901</v>
      </c>
      <c r="J60" s="95">
        <v>0.51798587293810205</v>
      </c>
      <c r="K60" s="108"/>
      <c r="L60" s="108"/>
      <c r="M60" s="108"/>
      <c r="N60" s="103">
        <v>1.55555555555555E-2</v>
      </c>
      <c r="O60" s="104">
        <v>0.77699633699633697</v>
      </c>
      <c r="S60" s="20">
        <v>0.4</v>
      </c>
      <c r="T60" s="21">
        <f t="shared" si="9"/>
        <v>0.188</v>
      </c>
      <c r="V60" s="99">
        <f t="shared" si="10"/>
        <v>0.19064059241282735</v>
      </c>
      <c r="W60" s="46">
        <f t="shared" si="14"/>
        <v>-2.6405924128273528E-3</v>
      </c>
      <c r="Y60" s="20">
        <v>0.4</v>
      </c>
      <c r="Z60" s="21">
        <f t="shared" si="17"/>
        <v>8.0000000000000016E-2</v>
      </c>
      <c r="AB60" s="99">
        <f t="shared" si="15"/>
        <v>7.8980484744992932E-2</v>
      </c>
      <c r="AC60" s="46">
        <f t="shared" si="16"/>
        <v>1.0195152550070835E-3</v>
      </c>
      <c r="AQ60" s="21">
        <v>0.51800000000000002</v>
      </c>
      <c r="AR60" s="21">
        <v>0.154</v>
      </c>
      <c r="AS60" s="21">
        <v>47.7</v>
      </c>
    </row>
    <row r="61" spans="1:45" ht="15" x14ac:dyDescent="0.25">
      <c r="D61" s="90">
        <v>0.67546548565863596</v>
      </c>
      <c r="E61" s="91">
        <v>0.267662366705054</v>
      </c>
      <c r="F61" s="105"/>
      <c r="G61" s="90">
        <v>6.2435870814818099E-2</v>
      </c>
      <c r="H61" s="93">
        <v>0.124760781359447</v>
      </c>
      <c r="I61" s="94">
        <v>0.35111728167605399</v>
      </c>
      <c r="J61" s="95">
        <v>0.33770210681038698</v>
      </c>
      <c r="K61" s="108"/>
      <c r="L61" s="108"/>
      <c r="M61" s="108"/>
      <c r="N61" s="103">
        <v>1.22222222222222E-2</v>
      </c>
      <c r="O61" s="104">
        <v>0.80005494505494501</v>
      </c>
      <c r="S61" s="20">
        <v>0.42</v>
      </c>
      <c r="T61" s="21">
        <f t="shared" si="9"/>
        <v>0.19739999999999999</v>
      </c>
      <c r="V61" s="99">
        <f t="shared" si="10"/>
        <v>0.20017262203346869</v>
      </c>
      <c r="W61" s="46">
        <f t="shared" si="14"/>
        <v>-2.7726220334687024E-3</v>
      </c>
      <c r="Y61" s="20">
        <v>0.42</v>
      </c>
      <c r="Z61" s="21">
        <f t="shared" si="17"/>
        <v>8.4000000000000005E-2</v>
      </c>
      <c r="AB61" s="99">
        <f t="shared" si="15"/>
        <v>8.2929508982242578E-2</v>
      </c>
      <c r="AC61" s="46">
        <f t="shared" si="16"/>
        <v>1.0704910177574273E-3</v>
      </c>
      <c r="AQ61" s="21">
        <v>0.504</v>
      </c>
      <c r="AR61" s="21">
        <v>0.14599999999999999</v>
      </c>
      <c r="AS61" s="21">
        <v>45.4</v>
      </c>
    </row>
    <row r="62" spans="1:45" ht="15" x14ac:dyDescent="0.25">
      <c r="D62" s="90">
        <v>0.96106847218679703</v>
      </c>
      <c r="E62" s="91">
        <v>0.27877297284763602</v>
      </c>
      <c r="F62" s="105"/>
      <c r="G62" s="90">
        <v>6.3870703015530494E-2</v>
      </c>
      <c r="H62" s="93">
        <v>7.3766677979045306E-2</v>
      </c>
      <c r="I62" s="94">
        <v>0.36222219297783798</v>
      </c>
      <c r="J62" s="95">
        <v>0.25333725686910302</v>
      </c>
      <c r="K62" s="108"/>
      <c r="L62" s="108"/>
      <c r="M62" s="108"/>
      <c r="N62" s="103">
        <v>1.55555555555555E-2</v>
      </c>
      <c r="O62" s="104">
        <v>0.86271062271062204</v>
      </c>
      <c r="S62" s="20">
        <v>0.44</v>
      </c>
      <c r="T62" s="21">
        <f t="shared" si="9"/>
        <v>0.20679999999999998</v>
      </c>
      <c r="V62" s="99">
        <f t="shared" si="10"/>
        <v>0.20970465165411006</v>
      </c>
      <c r="W62" s="46">
        <f t="shared" si="14"/>
        <v>-2.9046516541100798E-3</v>
      </c>
      <c r="Y62" s="20">
        <v>0.44</v>
      </c>
      <c r="Z62" s="21">
        <f t="shared" si="17"/>
        <v>8.4999999999999853E-2</v>
      </c>
      <c r="AB62" s="99">
        <f t="shared" si="15"/>
        <v>8.4999999999999853E-2</v>
      </c>
      <c r="AC62" s="46">
        <f t="shared" si="16"/>
        <v>0</v>
      </c>
      <c r="AQ62" s="21">
        <v>0.53200000000000003</v>
      </c>
      <c r="AR62" s="21">
        <v>0.14499999999999999</v>
      </c>
      <c r="AS62" s="21">
        <v>277</v>
      </c>
    </row>
    <row r="63" spans="1:45" ht="15" x14ac:dyDescent="0.25">
      <c r="D63" s="90">
        <v>0.97999397129408505</v>
      </c>
      <c r="E63" s="91">
        <v>0.279568226143457</v>
      </c>
      <c r="F63" s="105"/>
      <c r="G63" s="90">
        <v>6.4276162447591004E-2</v>
      </c>
      <c r="H63" s="93">
        <v>3.4897092061826701E-2</v>
      </c>
      <c r="I63" s="94">
        <v>0.38443201558140699</v>
      </c>
      <c r="J63" s="95">
        <v>0.26339826733775701</v>
      </c>
      <c r="K63" s="108"/>
      <c r="L63" s="108"/>
      <c r="M63" s="108"/>
      <c r="N63" s="103">
        <v>0.02</v>
      </c>
      <c r="O63" s="104">
        <v>0.90888888888888897</v>
      </c>
      <c r="S63" s="20">
        <v>0.46</v>
      </c>
      <c r="T63" s="21">
        <f t="shared" si="9"/>
        <v>0.2162</v>
      </c>
      <c r="V63" s="99">
        <f t="shared" si="10"/>
        <v>0.21923668127475146</v>
      </c>
      <c r="W63" s="46">
        <f t="shared" si="14"/>
        <v>-3.0366812747514571E-3</v>
      </c>
      <c r="Y63" s="20">
        <v>0.46</v>
      </c>
      <c r="Z63" s="21">
        <f t="shared" si="17"/>
        <v>8.4999999999999853E-2</v>
      </c>
      <c r="AB63" s="99">
        <f t="shared" si="15"/>
        <v>8.4999999999999853E-2</v>
      </c>
      <c r="AC63" s="46">
        <f t="shared" si="16"/>
        <v>0</v>
      </c>
      <c r="AQ63" s="21">
        <v>0.49399999999999999</v>
      </c>
      <c r="AR63" s="21">
        <v>0.161</v>
      </c>
      <c r="AS63" s="21">
        <v>919</v>
      </c>
    </row>
    <row r="64" spans="1:45" ht="15" x14ac:dyDescent="0.25">
      <c r="D64" s="90">
        <v>2.6837016254318599E-2</v>
      </c>
      <c r="E64" s="91">
        <v>-1.7359066117395E-4</v>
      </c>
      <c r="F64" s="105"/>
      <c r="G64" s="90">
        <v>6.4142076302076301E-2</v>
      </c>
      <c r="H64" s="93">
        <v>0.76697734507508897</v>
      </c>
      <c r="I64" s="94">
        <v>0.40039532557772201</v>
      </c>
      <c r="J64" s="95">
        <v>0.20129822972498099</v>
      </c>
      <c r="K64" s="108"/>
      <c r="L64" s="108"/>
      <c r="M64" s="108"/>
      <c r="N64" s="103">
        <v>2.6666666666666599E-2</v>
      </c>
      <c r="O64" s="104">
        <v>0.90233211233211197</v>
      </c>
      <c r="S64" s="20">
        <v>0.48</v>
      </c>
      <c r="T64" s="21">
        <f t="shared" si="9"/>
        <v>0.22559999999999997</v>
      </c>
      <c r="V64" s="99">
        <f t="shared" si="10"/>
        <v>0.2287687108953928</v>
      </c>
      <c r="W64" s="46">
        <f t="shared" si="14"/>
        <v>-3.1687108953928345E-3</v>
      </c>
      <c r="Y64" s="20">
        <v>0.48</v>
      </c>
      <c r="Z64" s="21">
        <f t="shared" si="17"/>
        <v>8.4999999999999853E-2</v>
      </c>
      <c r="AB64" s="99">
        <f t="shared" si="15"/>
        <v>8.4999999999999853E-2</v>
      </c>
      <c r="AC64" s="46">
        <f t="shared" si="16"/>
        <v>0</v>
      </c>
      <c r="AQ64" s="21">
        <v>0.59799999999999998</v>
      </c>
      <c r="AR64" s="21">
        <v>8.900000000000001E-2</v>
      </c>
      <c r="AS64" s="21">
        <v>2.77</v>
      </c>
    </row>
    <row r="65" spans="4:45" ht="15.75" thickBot="1" x14ac:dyDescent="0.3">
      <c r="D65" s="90">
        <v>0.36405500034781002</v>
      </c>
      <c r="E65" s="91">
        <v>0.17658483600116401</v>
      </c>
      <c r="F65" s="105"/>
      <c r="G65" s="90">
        <v>6.4912212112212098E-2</v>
      </c>
      <c r="H65" s="93">
        <v>0.108675571949286</v>
      </c>
      <c r="I65" s="94">
        <v>0.41011212296678401</v>
      </c>
      <c r="J65" s="95">
        <v>0.51246955922115101</v>
      </c>
      <c r="K65" s="108"/>
      <c r="L65" s="108"/>
      <c r="M65" s="108"/>
      <c r="N65" s="103">
        <v>7.7777777777777696E-2</v>
      </c>
      <c r="O65" s="104">
        <v>0.65206349206349201</v>
      </c>
      <c r="S65" s="20">
        <v>0.5</v>
      </c>
      <c r="T65" s="21">
        <f t="shared" si="9"/>
        <v>0.23499999999999999</v>
      </c>
      <c r="V65" s="99">
        <f t="shared" si="10"/>
        <v>0.23830074051603417</v>
      </c>
      <c r="W65" s="46">
        <f t="shared" si="14"/>
        <v>-3.3007405160341841E-3</v>
      </c>
      <c r="Y65" s="20">
        <v>0.5</v>
      </c>
      <c r="Z65" s="21">
        <f t="shared" si="17"/>
        <v>8.4999999999999853E-2</v>
      </c>
      <c r="AB65" s="99">
        <f t="shared" si="15"/>
        <v>8.4999999999999853E-2</v>
      </c>
      <c r="AC65" s="46">
        <f t="shared" si="16"/>
        <v>0</v>
      </c>
      <c r="AQ65" s="21">
        <v>0.503</v>
      </c>
      <c r="AR65" s="21">
        <v>0.123</v>
      </c>
      <c r="AS65" s="21">
        <v>27.4</v>
      </c>
    </row>
    <row r="66" spans="4:45" ht="15" x14ac:dyDescent="0.25">
      <c r="D66" s="109">
        <v>0.37682110974563499</v>
      </c>
      <c r="E66" s="110">
        <v>0.180511006110634</v>
      </c>
      <c r="F66" s="102" t="s">
        <v>80</v>
      </c>
      <c r="G66" s="90">
        <v>6.6751598980170399E-2</v>
      </c>
      <c r="H66" s="93">
        <v>0.73261967863910904</v>
      </c>
      <c r="I66" s="94">
        <v>0.68079433594778105</v>
      </c>
      <c r="J66" s="95">
        <v>0.21831046872448101</v>
      </c>
      <c r="K66" s="108"/>
      <c r="L66" s="108"/>
      <c r="M66" s="108"/>
      <c r="N66" s="103">
        <v>0.122222222222222</v>
      </c>
      <c r="O66" s="104">
        <v>0.62263736263736202</v>
      </c>
      <c r="S66" s="20">
        <v>0.52</v>
      </c>
      <c r="T66" s="21">
        <f t="shared" si="9"/>
        <v>0.24440000000000001</v>
      </c>
      <c r="V66" s="99">
        <f t="shared" si="10"/>
        <v>0.24783277013667554</v>
      </c>
      <c r="W66" s="46">
        <f t="shared" si="14"/>
        <v>-3.4327701366755337E-3</v>
      </c>
      <c r="Y66" s="20">
        <v>0.52</v>
      </c>
      <c r="Z66" s="21">
        <f t="shared" si="17"/>
        <v>8.4999999999999853E-2</v>
      </c>
      <c r="AB66" s="99">
        <f t="shared" si="15"/>
        <v>8.4999999999999853E-2</v>
      </c>
      <c r="AC66" s="46">
        <f t="shared" si="16"/>
        <v>0</v>
      </c>
      <c r="AQ66" s="21">
        <v>0.498</v>
      </c>
      <c r="AR66" s="21">
        <v>0.13200000000000001</v>
      </c>
      <c r="AS66" s="21">
        <v>324</v>
      </c>
    </row>
    <row r="67" spans="4:45" ht="15" x14ac:dyDescent="0.25">
      <c r="D67" s="90">
        <v>0.44966019430982901</v>
      </c>
      <c r="E67" s="91">
        <v>0.21876200602767501</v>
      </c>
      <c r="F67" s="105"/>
      <c r="G67" s="90">
        <v>6.4701628101628106E-2</v>
      </c>
      <c r="H67" s="93">
        <v>0.82185116428073701</v>
      </c>
      <c r="I67" s="94">
        <v>0.70092198768226499</v>
      </c>
      <c r="J67" s="95">
        <v>0.13313326800587899</v>
      </c>
      <c r="K67" s="108"/>
      <c r="L67" s="108"/>
      <c r="M67" s="108"/>
      <c r="N67" s="103">
        <v>0.13111111111111101</v>
      </c>
      <c r="O67" s="104">
        <v>0.65235653235653202</v>
      </c>
      <c r="S67" s="20">
        <v>0.54</v>
      </c>
      <c r="T67" s="21">
        <f t="shared" si="9"/>
        <v>0.25380000000000003</v>
      </c>
      <c r="V67" s="99">
        <f t="shared" si="10"/>
        <v>0.25736479975731691</v>
      </c>
      <c r="W67" s="46">
        <f t="shared" si="14"/>
        <v>-3.5647997573168833E-3</v>
      </c>
      <c r="Y67" s="20">
        <v>0.54</v>
      </c>
      <c r="Z67" s="21">
        <f t="shared" si="17"/>
        <v>8.4999999999999853E-2</v>
      </c>
      <c r="AB67" s="99">
        <f t="shared" si="15"/>
        <v>8.4999999999999853E-2</v>
      </c>
      <c r="AC67" s="46">
        <f t="shared" si="16"/>
        <v>0</v>
      </c>
      <c r="AQ67" s="21">
        <v>0.45899999999999996</v>
      </c>
      <c r="AR67" s="21">
        <v>0.14499999999999999</v>
      </c>
      <c r="AS67" s="21">
        <v>708</v>
      </c>
    </row>
    <row r="68" spans="4:45" ht="15" x14ac:dyDescent="0.25">
      <c r="D68" s="90">
        <v>0.60535167296589099</v>
      </c>
      <c r="E68" s="91">
        <v>0.27441745465975098</v>
      </c>
      <c r="F68" s="105"/>
      <c r="G68" s="90">
        <v>6.9378716672834295E-2</v>
      </c>
      <c r="H68" s="93">
        <v>0.71426096154150898</v>
      </c>
      <c r="I68" s="94">
        <v>3.9338842975206602E-2</v>
      </c>
      <c r="J68" s="95">
        <v>0.65846153846153799</v>
      </c>
      <c r="K68" s="108"/>
      <c r="L68" s="108"/>
      <c r="M68" s="108"/>
      <c r="N68" s="103">
        <v>0.16666666666666599</v>
      </c>
      <c r="O68" s="104">
        <v>0.66573870573870497</v>
      </c>
      <c r="S68" s="20">
        <v>0.56000000000000005</v>
      </c>
      <c r="T68" s="21">
        <f t="shared" si="9"/>
        <v>0.26319999999999999</v>
      </c>
      <c r="V68" s="99">
        <f t="shared" si="10"/>
        <v>0.26689682937795828</v>
      </c>
      <c r="W68" s="46">
        <f t="shared" si="14"/>
        <v>-3.6968293779582884E-3</v>
      </c>
      <c r="Y68" s="20">
        <v>0.56000000000000005</v>
      </c>
      <c r="Z68" s="21">
        <f t="shared" si="17"/>
        <v>8.4999999999999853E-2</v>
      </c>
      <c r="AB68" s="99">
        <f t="shared" si="15"/>
        <v>8.4999999999999853E-2</v>
      </c>
      <c r="AC68" s="46">
        <f t="shared" si="16"/>
        <v>0</v>
      </c>
    </row>
    <row r="69" spans="4:45" ht="15" x14ac:dyDescent="0.25">
      <c r="D69" s="90">
        <v>0.65417257866301803</v>
      </c>
      <c r="E69" s="91">
        <v>0.29789675696375201</v>
      </c>
      <c r="F69" s="105"/>
      <c r="G69" s="90">
        <v>6.93043929043929E-2</v>
      </c>
      <c r="H69" s="93">
        <v>0.93766255298755297</v>
      </c>
      <c r="I69" s="94">
        <v>0.2</v>
      </c>
      <c r="J69" s="95">
        <v>0.55846153846153801</v>
      </c>
      <c r="K69" s="108"/>
      <c r="L69" s="108"/>
      <c r="M69" s="108"/>
      <c r="N69" s="103">
        <v>0.154444444444444</v>
      </c>
      <c r="O69" s="104">
        <v>0.59314407814407799</v>
      </c>
      <c r="S69" s="20">
        <v>0.57999999999999996</v>
      </c>
      <c r="T69" s="21">
        <f t="shared" si="9"/>
        <v>0.27259999999999995</v>
      </c>
      <c r="V69" s="99">
        <f t="shared" si="10"/>
        <v>0.27642885899859959</v>
      </c>
      <c r="W69" s="46">
        <f t="shared" si="14"/>
        <v>-3.828858998599638E-3</v>
      </c>
      <c r="Y69" s="20">
        <v>0.57999999999999996</v>
      </c>
      <c r="Z69" s="21">
        <f t="shared" si="17"/>
        <v>8.4999999999999853E-2</v>
      </c>
      <c r="AB69" s="99">
        <f t="shared" si="15"/>
        <v>8.4999999999999853E-2</v>
      </c>
      <c r="AC69" s="46">
        <f t="shared" si="16"/>
        <v>0</v>
      </c>
    </row>
    <row r="70" spans="4:45" ht="15" x14ac:dyDescent="0.25">
      <c r="D70" s="90">
        <v>0.68984886498017495</v>
      </c>
      <c r="E70" s="91">
        <v>0.30343514004796202</v>
      </c>
      <c r="F70" s="105"/>
      <c r="G70" s="90">
        <v>6.93043929043929E-2</v>
      </c>
      <c r="H70" s="93">
        <v>0.84758599454599404</v>
      </c>
      <c r="I70" s="94">
        <v>0.2</v>
      </c>
      <c r="J70" s="95">
        <v>0.56615384615384601</v>
      </c>
      <c r="K70" s="108"/>
      <c r="L70" s="108"/>
      <c r="M70" s="108"/>
      <c r="N70" s="103">
        <v>0.17555555555555499</v>
      </c>
      <c r="O70" s="104">
        <v>0.58007326007325999</v>
      </c>
      <c r="S70" s="20">
        <v>0.6</v>
      </c>
      <c r="T70" s="21">
        <f t="shared" si="9"/>
        <v>0.28199999999999997</v>
      </c>
      <c r="V70" s="99">
        <f t="shared" si="10"/>
        <v>0.28596088861924102</v>
      </c>
      <c r="W70" s="46">
        <f t="shared" si="14"/>
        <v>-3.9608886192410431E-3</v>
      </c>
      <c r="Y70" s="20">
        <v>0.6</v>
      </c>
      <c r="Z70" s="21">
        <f t="shared" si="17"/>
        <v>8.4999999999999853E-2</v>
      </c>
      <c r="AB70" s="99">
        <f t="shared" si="15"/>
        <v>8.4999999999999853E-2</v>
      </c>
      <c r="AC70" s="46">
        <f t="shared" si="16"/>
        <v>0</v>
      </c>
    </row>
    <row r="71" spans="4:45" ht="15" x14ac:dyDescent="0.25">
      <c r="D71" s="90">
        <v>0.887554951654416</v>
      </c>
      <c r="E71" s="91">
        <v>0.31748110118178002</v>
      </c>
      <c r="F71" s="105"/>
      <c r="G71" s="90">
        <v>6.9777132519989599E-2</v>
      </c>
      <c r="H71" s="93">
        <v>4.0369509763537002E-2</v>
      </c>
      <c r="I71" s="94">
        <v>0.30016528925619801</v>
      </c>
      <c r="J71" s="95">
        <v>0.45846153846153798</v>
      </c>
      <c r="K71" s="108"/>
      <c r="L71" s="108"/>
      <c r="M71" s="108"/>
      <c r="N71" s="103">
        <v>0.18</v>
      </c>
      <c r="O71" s="104">
        <v>0.56031746031745999</v>
      </c>
      <c r="S71" s="20">
        <v>0.62</v>
      </c>
      <c r="T71" s="21">
        <f t="shared" si="9"/>
        <v>0.29139999999999999</v>
      </c>
      <c r="V71" s="99">
        <f t="shared" si="10"/>
        <v>0.29549291823988239</v>
      </c>
      <c r="W71" s="46">
        <f t="shared" si="14"/>
        <v>-4.0929182398823927E-3</v>
      </c>
      <c r="Y71" s="20">
        <v>0.62</v>
      </c>
      <c r="Z71" s="21">
        <f t="shared" si="17"/>
        <v>8.4999999999999853E-2</v>
      </c>
      <c r="AB71" s="99">
        <f t="shared" si="15"/>
        <v>8.4999999999999853E-2</v>
      </c>
      <c r="AC71" s="46">
        <f t="shared" si="16"/>
        <v>0</v>
      </c>
    </row>
    <row r="72" spans="4:45" ht="15.75" thickBot="1" x14ac:dyDescent="0.3">
      <c r="D72" s="90">
        <v>0.927690773761217</v>
      </c>
      <c r="E72" s="91">
        <v>0.31984082625592702</v>
      </c>
      <c r="F72" s="105"/>
      <c r="G72" s="90">
        <v>6.9983418897704597E-2</v>
      </c>
      <c r="H72" s="93">
        <v>0.768681243699607</v>
      </c>
      <c r="I72" s="106">
        <v>0.299173553719008</v>
      </c>
      <c r="J72" s="111">
        <v>0.41230769230769199</v>
      </c>
      <c r="K72" s="108"/>
      <c r="L72" s="108"/>
      <c r="M72" s="108"/>
      <c r="N72" s="103">
        <v>0.193333333333333</v>
      </c>
      <c r="O72" s="104">
        <v>0.53236874236874199</v>
      </c>
      <c r="S72" s="20">
        <v>0.64</v>
      </c>
      <c r="T72" s="21">
        <f t="shared" si="9"/>
        <v>0.30080000000000001</v>
      </c>
      <c r="V72" s="99">
        <f t="shared" si="10"/>
        <v>0.30502494786052375</v>
      </c>
      <c r="W72" s="46">
        <f t="shared" si="14"/>
        <v>-4.2249478605237423E-3</v>
      </c>
      <c r="Y72" s="20">
        <v>0.64</v>
      </c>
      <c r="Z72" s="21">
        <f t="shared" si="17"/>
        <v>8.4999999999999853E-2</v>
      </c>
      <c r="AB72" s="99">
        <f t="shared" si="15"/>
        <v>8.4999999999999853E-2</v>
      </c>
      <c r="AC72" s="46">
        <f t="shared" si="16"/>
        <v>0</v>
      </c>
    </row>
    <row r="73" spans="4:45" ht="15" x14ac:dyDescent="0.2">
      <c r="D73" s="90">
        <v>0.96039403621860997</v>
      </c>
      <c r="E73" s="91">
        <v>0.32345905635434702</v>
      </c>
      <c r="F73" s="105"/>
      <c r="G73" s="90">
        <v>6.9637624745316998E-2</v>
      </c>
      <c r="H73" s="93">
        <v>0.12648021882874899</v>
      </c>
      <c r="I73" s="71"/>
      <c r="J73" s="71"/>
      <c r="K73" s="71"/>
      <c r="L73" s="71"/>
      <c r="M73" s="71"/>
      <c r="N73" s="103">
        <v>0.21111111111111</v>
      </c>
      <c r="O73" s="104">
        <v>0.55224664224664199</v>
      </c>
      <c r="S73" s="20">
        <v>0.66</v>
      </c>
      <c r="T73" s="21">
        <f t="shared" si="9"/>
        <v>0.31000000000000005</v>
      </c>
      <c r="V73" s="99">
        <f t="shared" si="10"/>
        <v>0.31000000000000005</v>
      </c>
      <c r="W73" s="46">
        <f t="shared" si="14"/>
        <v>0</v>
      </c>
      <c r="Y73" s="20">
        <v>0.66</v>
      </c>
      <c r="Z73" s="21">
        <f t="shared" si="17"/>
        <v>8.4999999999999853E-2</v>
      </c>
      <c r="AB73" s="99">
        <f t="shared" si="15"/>
        <v>8.4999999999999853E-2</v>
      </c>
      <c r="AC73" s="46">
        <f t="shared" si="16"/>
        <v>0</v>
      </c>
    </row>
    <row r="74" spans="4:45" ht="15" x14ac:dyDescent="0.2">
      <c r="D74" s="90">
        <v>0.99309729867600305</v>
      </c>
      <c r="E74" s="91">
        <v>0.325217945318653</v>
      </c>
      <c r="F74" s="105"/>
      <c r="G74" s="90">
        <v>7.1109398709398697E-2</v>
      </c>
      <c r="H74" s="93">
        <v>0.517598163940306</v>
      </c>
      <c r="K74" s="3"/>
      <c r="L74" s="3"/>
      <c r="M74" s="3"/>
      <c r="N74" s="103">
        <v>0.24222222222222201</v>
      </c>
      <c r="O74" s="104">
        <v>0.57384615384615301</v>
      </c>
      <c r="S74" s="20">
        <v>0.68</v>
      </c>
      <c r="T74" s="21">
        <f t="shared" si="9"/>
        <v>0.31000000000000005</v>
      </c>
      <c r="V74" s="99">
        <f t="shared" si="10"/>
        <v>0.31000000000000005</v>
      </c>
      <c r="W74" s="46">
        <f t="shared" si="14"/>
        <v>0</v>
      </c>
      <c r="Y74" s="20">
        <v>0.68</v>
      </c>
      <c r="Z74" s="21">
        <f t="shared" si="17"/>
        <v>8.4999999999999853E-2</v>
      </c>
      <c r="AB74" s="99">
        <f t="shared" si="15"/>
        <v>8.4999999999999853E-2</v>
      </c>
      <c r="AC74" s="46">
        <f t="shared" si="16"/>
        <v>0</v>
      </c>
    </row>
    <row r="75" spans="4:45" ht="15" x14ac:dyDescent="0.2">
      <c r="D75" s="90">
        <v>1.01093544183458</v>
      </c>
      <c r="E75" s="91">
        <v>0.32615985333240499</v>
      </c>
      <c r="F75" s="105"/>
      <c r="G75" s="90">
        <v>7.0206895806895805E-2</v>
      </c>
      <c r="H75" s="93">
        <v>8.4149884623484605E-2</v>
      </c>
      <c r="K75" s="3"/>
      <c r="L75" s="3"/>
      <c r="M75" s="3"/>
      <c r="N75" s="103">
        <v>0.26555555555555499</v>
      </c>
      <c r="O75" s="104">
        <v>0.559139194139194</v>
      </c>
      <c r="S75" s="20">
        <v>0.7</v>
      </c>
      <c r="T75" s="21">
        <f t="shared" si="9"/>
        <v>0.31000000000000005</v>
      </c>
      <c r="V75" s="99">
        <f t="shared" si="10"/>
        <v>0.31000000000000005</v>
      </c>
      <c r="W75" s="46">
        <f t="shared" si="14"/>
        <v>0</v>
      </c>
      <c r="Y75" s="20">
        <v>0.7</v>
      </c>
      <c r="Z75" s="21">
        <f t="shared" si="17"/>
        <v>8.4999999999999853E-2</v>
      </c>
      <c r="AB75" s="99">
        <f t="shared" si="15"/>
        <v>8.4999999999999853E-2</v>
      </c>
      <c r="AC75" s="46">
        <f t="shared" si="16"/>
        <v>0</v>
      </c>
    </row>
    <row r="76" spans="4:45" ht="15" x14ac:dyDescent="0.2">
      <c r="D76" s="90">
        <v>0.29007350383750302</v>
      </c>
      <c r="E76" s="91">
        <v>0.13993436439662699</v>
      </c>
      <c r="F76" s="105"/>
      <c r="G76" s="90">
        <v>7.3144132525950603E-2</v>
      </c>
      <c r="H76" s="93">
        <v>0.15590091009180801</v>
      </c>
      <c r="I76" s="71"/>
      <c r="J76" s="71"/>
      <c r="K76" s="71"/>
      <c r="L76" s="71"/>
      <c r="M76" s="71"/>
      <c r="N76" s="103">
        <v>0.23</v>
      </c>
      <c r="O76" s="104">
        <v>0.51443833943833905</v>
      </c>
      <c r="S76" s="20">
        <v>0.72</v>
      </c>
      <c r="T76" s="21">
        <f t="shared" si="9"/>
        <v>0.31000000000000005</v>
      </c>
      <c r="V76" s="99">
        <f t="shared" si="10"/>
        <v>0.31000000000000005</v>
      </c>
      <c r="W76" s="46">
        <f t="shared" si="14"/>
        <v>0</v>
      </c>
      <c r="Y76" s="20">
        <v>0.72</v>
      </c>
      <c r="Z76" s="21">
        <f t="shared" si="17"/>
        <v>8.4999999999999853E-2</v>
      </c>
      <c r="AB76" s="99">
        <f t="shared" si="15"/>
        <v>8.4999999999999853E-2</v>
      </c>
      <c r="AC76" s="46">
        <f t="shared" si="16"/>
        <v>0</v>
      </c>
    </row>
    <row r="77" spans="4:45" ht="15" x14ac:dyDescent="0.2">
      <c r="D77" s="90">
        <v>0.26770700489252602</v>
      </c>
      <c r="E77" s="91">
        <v>0.120368456986213</v>
      </c>
      <c r="F77" s="105"/>
      <c r="G77" s="90">
        <v>7.4091268299268306E-2</v>
      </c>
      <c r="H77" s="93">
        <v>0.72820324469952502</v>
      </c>
      <c r="I77" s="71"/>
      <c r="J77" s="71"/>
      <c r="K77" s="71"/>
      <c r="L77" s="71"/>
      <c r="M77" s="71"/>
      <c r="N77" s="103">
        <v>0.22666666666666599</v>
      </c>
      <c r="O77" s="104">
        <v>0.48145299145299097</v>
      </c>
      <c r="S77" s="20">
        <v>0.74</v>
      </c>
      <c r="T77" s="21">
        <f t="shared" si="9"/>
        <v>0.31000000000000005</v>
      </c>
      <c r="V77" s="99">
        <f t="shared" si="10"/>
        <v>0.31000000000000005</v>
      </c>
      <c r="W77" s="46">
        <f t="shared" si="14"/>
        <v>0</v>
      </c>
      <c r="Y77" s="20">
        <v>0.74</v>
      </c>
      <c r="Z77" s="21">
        <f t="shared" si="17"/>
        <v>8.4999999999999853E-2</v>
      </c>
      <c r="AB77" s="99">
        <f t="shared" si="15"/>
        <v>8.4999999999999853E-2</v>
      </c>
      <c r="AC77" s="46">
        <f t="shared" si="16"/>
        <v>0</v>
      </c>
    </row>
    <row r="78" spans="4:45" ht="15" x14ac:dyDescent="0.2">
      <c r="D78" s="90">
        <v>0.17996150903146499</v>
      </c>
      <c r="E78" s="91">
        <v>0.120465951981615</v>
      </c>
      <c r="F78" s="105"/>
      <c r="G78" s="90">
        <v>7.4587043227043195E-2</v>
      </c>
      <c r="H78" s="93">
        <v>0.18190720391437201</v>
      </c>
      <c r="I78" s="71"/>
      <c r="J78" s="71"/>
      <c r="K78" s="71"/>
      <c r="L78" s="71"/>
      <c r="M78" s="71"/>
      <c r="N78" s="103">
        <v>0.30888888888888799</v>
      </c>
      <c r="O78" s="104">
        <v>0.61212454212454204</v>
      </c>
      <c r="S78" s="20">
        <v>0.76</v>
      </c>
      <c r="T78" s="21">
        <f t="shared" si="9"/>
        <v>0.31000000000000005</v>
      </c>
      <c r="V78" s="99">
        <f t="shared" si="10"/>
        <v>0.31000000000000005</v>
      </c>
      <c r="W78" s="46">
        <f t="shared" si="14"/>
        <v>0</v>
      </c>
      <c r="Y78" s="20">
        <v>0.76</v>
      </c>
      <c r="Z78" s="21">
        <f t="shared" si="17"/>
        <v>8.4999999999999853E-2</v>
      </c>
      <c r="AB78" s="99">
        <f t="shared" si="15"/>
        <v>8.4999999999999853E-2</v>
      </c>
      <c r="AC78" s="46">
        <f t="shared" si="16"/>
        <v>0</v>
      </c>
    </row>
    <row r="79" spans="4:45" ht="15" x14ac:dyDescent="0.2">
      <c r="D79" s="90">
        <v>0.105980012521158</v>
      </c>
      <c r="E79" s="91">
        <v>3.9736272456285297E-2</v>
      </c>
      <c r="F79" s="105"/>
      <c r="G79" s="90">
        <v>7.5381245781245707E-2</v>
      </c>
      <c r="H79" s="93">
        <v>0.69902604096621701</v>
      </c>
      <c r="I79" s="71"/>
      <c r="J79" s="71"/>
      <c r="K79" s="71"/>
      <c r="L79" s="71"/>
      <c r="M79" s="71"/>
      <c r="N79" s="103">
        <v>0.30888888888888799</v>
      </c>
      <c r="O79" s="104">
        <v>0.57256410256410195</v>
      </c>
      <c r="S79" s="20">
        <v>0.78</v>
      </c>
      <c r="T79" s="21">
        <f t="shared" si="9"/>
        <v>0.31000000000000005</v>
      </c>
      <c r="V79" s="99">
        <f t="shared" si="10"/>
        <v>0.31000000000000005</v>
      </c>
      <c r="W79" s="46">
        <f t="shared" si="14"/>
        <v>0</v>
      </c>
      <c r="Y79" s="20">
        <v>0.78</v>
      </c>
      <c r="Z79" s="21">
        <f t="shared" si="17"/>
        <v>8.4999999999999853E-2</v>
      </c>
      <c r="AB79" s="99">
        <f t="shared" si="15"/>
        <v>8.4999999999999853E-2</v>
      </c>
      <c r="AC79" s="46">
        <f t="shared" si="16"/>
        <v>0</v>
      </c>
    </row>
    <row r="80" spans="4:45" ht="15" x14ac:dyDescent="0.2">
      <c r="D80" s="90">
        <v>0.14383101073573401</v>
      </c>
      <c r="E80" s="91">
        <v>6.9080354405463895E-2</v>
      </c>
      <c r="F80" s="105"/>
      <c r="G80" s="90">
        <v>7.2914404514404493E-2</v>
      </c>
      <c r="H80" s="93">
        <v>0.93747313481884897</v>
      </c>
      <c r="I80" s="71"/>
      <c r="J80" s="71"/>
      <c r="K80" s="71"/>
      <c r="L80" s="71"/>
      <c r="M80" s="71"/>
      <c r="N80" s="103">
        <v>0.301111111111111</v>
      </c>
      <c r="O80" s="104">
        <v>0.56757631257631203</v>
      </c>
      <c r="S80" s="20">
        <v>0.8</v>
      </c>
      <c r="T80" s="21">
        <f t="shared" si="9"/>
        <v>0.31000000000000005</v>
      </c>
      <c r="V80" s="99">
        <f t="shared" si="10"/>
        <v>0.31000000000000005</v>
      </c>
      <c r="W80" s="46">
        <f t="shared" si="14"/>
        <v>0</v>
      </c>
      <c r="Y80" s="20">
        <v>0.8</v>
      </c>
      <c r="Z80" s="21">
        <f t="shared" si="17"/>
        <v>8.4999999999999853E-2</v>
      </c>
      <c r="AB80" s="99">
        <f t="shared" si="15"/>
        <v>8.4999999999999853E-2</v>
      </c>
      <c r="AC80" s="46">
        <f t="shared" si="16"/>
        <v>0</v>
      </c>
    </row>
    <row r="81" spans="4:29" ht="15.75" thickBot="1" x14ac:dyDescent="0.25">
      <c r="D81" s="112">
        <v>3.5439515848540298E-2</v>
      </c>
      <c r="E81" s="113">
        <v>-9.99430622219188E-4</v>
      </c>
      <c r="F81" s="114"/>
      <c r="G81" s="90">
        <v>7.2914404514404493E-2</v>
      </c>
      <c r="H81" s="93">
        <v>0.84755161348304198</v>
      </c>
      <c r="I81" s="71"/>
      <c r="J81" s="71"/>
      <c r="K81" s="71"/>
      <c r="L81" s="71"/>
      <c r="M81" s="71"/>
      <c r="N81" s="103">
        <v>0.30666666666666598</v>
      </c>
      <c r="O81" s="104">
        <v>0.541233211233211</v>
      </c>
      <c r="S81" s="20">
        <v>0.82</v>
      </c>
      <c r="T81" s="21">
        <f t="shared" si="9"/>
        <v>0.31000000000000005</v>
      </c>
      <c r="V81" s="99">
        <f t="shared" si="10"/>
        <v>0.31000000000000005</v>
      </c>
      <c r="W81" s="46">
        <f t="shared" si="14"/>
        <v>0</v>
      </c>
      <c r="Y81" s="20">
        <v>0.82</v>
      </c>
      <c r="Z81" s="21">
        <f t="shared" si="17"/>
        <v>8.4999999999999853E-2</v>
      </c>
      <c r="AB81" s="99">
        <f t="shared" si="15"/>
        <v>8.4999999999999853E-2</v>
      </c>
      <c r="AC81" s="46">
        <f t="shared" si="16"/>
        <v>0</v>
      </c>
    </row>
    <row r="82" spans="4:29" ht="15" x14ac:dyDescent="0.2">
      <c r="D82" s="90">
        <v>1.4972448813968101E-2</v>
      </c>
      <c r="E82" s="91">
        <v>1.3443676503968899E-2</v>
      </c>
      <c r="F82" s="105" t="s">
        <v>81</v>
      </c>
      <c r="G82" s="90">
        <v>7.5315062235062194E-2</v>
      </c>
      <c r="H82" s="93">
        <v>5.5338805252912703E-2</v>
      </c>
      <c r="I82" s="71"/>
      <c r="J82" s="71"/>
      <c r="K82" s="71"/>
      <c r="L82" s="71"/>
      <c r="M82" s="71"/>
      <c r="N82" s="103">
        <v>0.31333333333333302</v>
      </c>
      <c r="O82" s="104">
        <v>0.53302808302808302</v>
      </c>
      <c r="S82" s="20">
        <v>0.84</v>
      </c>
      <c r="T82" s="21">
        <f t="shared" si="9"/>
        <v>0.31000000000000005</v>
      </c>
      <c r="V82" s="99">
        <f t="shared" si="10"/>
        <v>0.31000000000000005</v>
      </c>
      <c r="W82" s="46">
        <f t="shared" si="14"/>
        <v>0</v>
      </c>
      <c r="Y82" s="20">
        <v>0.84</v>
      </c>
      <c r="Z82" s="21">
        <f t="shared" si="17"/>
        <v>8.4999999999999853E-2</v>
      </c>
      <c r="AB82" s="99">
        <f t="shared" si="15"/>
        <v>8.4999999999999853E-2</v>
      </c>
      <c r="AC82" s="46">
        <f t="shared" si="16"/>
        <v>0</v>
      </c>
    </row>
    <row r="83" spans="4:29" ht="15" x14ac:dyDescent="0.2">
      <c r="D83" s="90">
        <v>3.72701277621907E-2</v>
      </c>
      <c r="E83" s="91">
        <v>2.2213584869493801E-2</v>
      </c>
      <c r="F83" s="105" t="s">
        <v>82</v>
      </c>
      <c r="G83" s="90">
        <v>7.3275405675405594E-2</v>
      </c>
      <c r="H83" s="93">
        <v>0.76734231266802699</v>
      </c>
      <c r="I83" s="71"/>
      <c r="J83" s="71"/>
      <c r="K83" s="71"/>
      <c r="L83" s="71"/>
      <c r="M83" s="71"/>
      <c r="N83" s="103">
        <v>0.30444444444444402</v>
      </c>
      <c r="O83" s="104">
        <v>0.51484737484737397</v>
      </c>
      <c r="S83" s="20">
        <v>0.86</v>
      </c>
      <c r="T83" s="21">
        <f t="shared" si="9"/>
        <v>0.31000000000000005</v>
      </c>
      <c r="V83" s="99">
        <f t="shared" si="10"/>
        <v>0.31000000000000005</v>
      </c>
      <c r="W83" s="46">
        <f t="shared" si="14"/>
        <v>0</v>
      </c>
      <c r="Y83" s="20">
        <v>0.86</v>
      </c>
      <c r="Z83" s="21">
        <f t="shared" si="17"/>
        <v>8.4999999999999853E-2</v>
      </c>
      <c r="AB83" s="99">
        <f t="shared" si="15"/>
        <v>8.4999999999999853E-2</v>
      </c>
      <c r="AC83" s="46">
        <f t="shared" si="16"/>
        <v>0</v>
      </c>
    </row>
    <row r="84" spans="4:29" ht="15" x14ac:dyDescent="0.2">
      <c r="D84" s="90">
        <v>7.45361560043592E-2</v>
      </c>
      <c r="E84" s="91">
        <v>4.1502380151645098E-2</v>
      </c>
      <c r="F84" s="105" t="s">
        <v>83</v>
      </c>
      <c r="G84" s="90">
        <v>7.7607419607419598E-2</v>
      </c>
      <c r="H84" s="93">
        <v>0.68576628255493199</v>
      </c>
      <c r="I84" s="71"/>
      <c r="J84" s="71"/>
      <c r="K84" s="71"/>
      <c r="L84" s="71"/>
      <c r="M84" s="71"/>
      <c r="N84" s="103">
        <v>0.29222222222222199</v>
      </c>
      <c r="O84" s="104">
        <v>0.52631868131868098</v>
      </c>
      <c r="S84" s="20">
        <v>0.88</v>
      </c>
      <c r="T84" s="21">
        <f t="shared" si="9"/>
        <v>0.31000000000000005</v>
      </c>
      <c r="V84" s="99">
        <f t="shared" si="10"/>
        <v>0.31000000000000005</v>
      </c>
      <c r="W84" s="46">
        <f t="shared" si="14"/>
        <v>0</v>
      </c>
      <c r="Y84" s="20">
        <v>0.88</v>
      </c>
      <c r="Z84" s="21">
        <f t="shared" si="17"/>
        <v>8.4999999999999853E-2</v>
      </c>
      <c r="AB84" s="99">
        <f t="shared" si="15"/>
        <v>8.4999999999999853E-2</v>
      </c>
      <c r="AC84" s="46">
        <f t="shared" si="16"/>
        <v>0</v>
      </c>
    </row>
    <row r="85" spans="4:29" ht="15" x14ac:dyDescent="0.2">
      <c r="D85" s="90">
        <v>9.1569105200918294E-2</v>
      </c>
      <c r="E85" s="91">
        <v>5.8765116258698402E-2</v>
      </c>
      <c r="F85" s="105" t="s">
        <v>84</v>
      </c>
      <c r="G85" s="90">
        <v>7.4899910899910896E-2</v>
      </c>
      <c r="H85" s="93">
        <v>0.517448369946655</v>
      </c>
      <c r="I85" s="71"/>
      <c r="J85" s="71"/>
      <c r="K85" s="71"/>
      <c r="L85" s="71"/>
      <c r="M85" s="71"/>
      <c r="N85" s="103">
        <v>0.39888888888888802</v>
      </c>
      <c r="O85" s="104">
        <v>0.533498168498168</v>
      </c>
      <c r="S85" s="20">
        <v>0.9</v>
      </c>
      <c r="T85" s="21">
        <f t="shared" si="9"/>
        <v>0.31000000000000005</v>
      </c>
      <c r="V85" s="99">
        <f t="shared" si="10"/>
        <v>0.31000000000000005</v>
      </c>
      <c r="W85" s="46">
        <f t="shared" si="14"/>
        <v>0</v>
      </c>
      <c r="Y85" s="20">
        <v>0.9</v>
      </c>
      <c r="Z85" s="21">
        <f t="shared" si="17"/>
        <v>8.4999999999999853E-2</v>
      </c>
      <c r="AB85" s="99">
        <f t="shared" si="15"/>
        <v>8.4999999999999853E-2</v>
      </c>
      <c r="AC85" s="46">
        <f t="shared" si="16"/>
        <v>0</v>
      </c>
    </row>
    <row r="86" spans="4:29" ht="15" x14ac:dyDescent="0.2">
      <c r="D86" s="90">
        <v>0.126460843555081</v>
      </c>
      <c r="E86" s="91">
        <v>7.5755101895950694E-2</v>
      </c>
      <c r="F86" s="105" t="s">
        <v>85</v>
      </c>
      <c r="G86" s="90">
        <v>7.8257221697221699E-2</v>
      </c>
      <c r="H86" s="93">
        <v>0.139870035632321</v>
      </c>
      <c r="I86" s="71"/>
      <c r="J86" s="71"/>
      <c r="K86" s="71"/>
      <c r="L86" s="71"/>
      <c r="M86" s="71"/>
      <c r="N86" s="103">
        <v>0.39333333333333298</v>
      </c>
      <c r="O86" s="104">
        <v>0.51863247863247797</v>
      </c>
      <c r="S86" s="20">
        <v>0.92</v>
      </c>
      <c r="T86" s="21">
        <f t="shared" si="9"/>
        <v>0.31000000000000005</v>
      </c>
      <c r="V86" s="99">
        <f t="shared" si="10"/>
        <v>0.31000000000000005</v>
      </c>
      <c r="W86" s="46">
        <f t="shared" si="14"/>
        <v>0</v>
      </c>
      <c r="Y86" s="20">
        <v>0.92</v>
      </c>
      <c r="Z86" s="21">
        <f t="shared" si="17"/>
        <v>8.4999999999999853E-2</v>
      </c>
      <c r="AB86" s="99">
        <f t="shared" si="15"/>
        <v>8.4999999999999853E-2</v>
      </c>
      <c r="AC86" s="46">
        <f t="shared" si="16"/>
        <v>0</v>
      </c>
    </row>
    <row r="87" spans="4:29" ht="15" x14ac:dyDescent="0.2">
      <c r="D87" s="90">
        <v>0.16169992048109599</v>
      </c>
      <c r="E87" s="91">
        <v>9.6609047424273994E-2</v>
      </c>
      <c r="F87" s="105"/>
      <c r="G87" s="90">
        <v>7.9412425412425394E-2</v>
      </c>
      <c r="H87" s="93">
        <v>0.47788126745840998</v>
      </c>
      <c r="I87" s="71"/>
      <c r="J87" s="71"/>
      <c r="K87" s="71"/>
      <c r="L87" s="71"/>
      <c r="M87" s="71"/>
      <c r="N87" s="103">
        <v>0.39</v>
      </c>
      <c r="O87" s="104">
        <v>0.50542735042734999</v>
      </c>
      <c r="S87" s="20">
        <v>0.94</v>
      </c>
      <c r="T87" s="21">
        <f t="shared" si="9"/>
        <v>0.31000000000000005</v>
      </c>
      <c r="V87" s="99">
        <f t="shared" si="10"/>
        <v>0.31000000000000005</v>
      </c>
      <c r="W87" s="46">
        <f t="shared" si="14"/>
        <v>0</v>
      </c>
      <c r="Y87" s="20">
        <v>0.94</v>
      </c>
      <c r="Z87" s="21">
        <f t="shared" si="17"/>
        <v>8.4999999999999853E-2</v>
      </c>
      <c r="AB87" s="99">
        <f t="shared" si="15"/>
        <v>8.4999999999999853E-2</v>
      </c>
      <c r="AC87" s="46">
        <f t="shared" si="16"/>
        <v>0</v>
      </c>
    </row>
    <row r="88" spans="4:29" ht="15" x14ac:dyDescent="0.2">
      <c r="D88" s="90">
        <v>0.165440489716419</v>
      </c>
      <c r="E88" s="91">
        <v>0.109630764995375</v>
      </c>
      <c r="F88" s="105"/>
      <c r="G88" s="90">
        <v>7.8406779321065004E-2</v>
      </c>
      <c r="H88" s="93">
        <v>0.18495170136387201</v>
      </c>
      <c r="I88" s="71"/>
      <c r="J88" s="71"/>
      <c r="K88" s="71"/>
      <c r="L88" s="71"/>
      <c r="M88" s="71"/>
      <c r="N88" s="103">
        <v>0.34666666666666601</v>
      </c>
      <c r="O88" s="104">
        <v>0.44255189255189198</v>
      </c>
      <c r="S88" s="20">
        <v>0.96</v>
      </c>
      <c r="T88" s="21">
        <f t="shared" si="9"/>
        <v>0.31000000000000005</v>
      </c>
      <c r="V88" s="99">
        <f t="shared" si="10"/>
        <v>0.31000000000000005</v>
      </c>
      <c r="W88" s="46">
        <f t="shared" si="14"/>
        <v>0</v>
      </c>
      <c r="Y88" s="20">
        <v>0.96</v>
      </c>
      <c r="Z88" s="21">
        <f t="shared" si="17"/>
        <v>8.4999999999999853E-2</v>
      </c>
      <c r="AB88" s="99">
        <f t="shared" si="15"/>
        <v>8.4999999999999853E-2</v>
      </c>
      <c r="AC88" s="46">
        <f t="shared" si="16"/>
        <v>0</v>
      </c>
    </row>
    <row r="89" spans="4:29" ht="15" x14ac:dyDescent="0.2">
      <c r="D89" s="90">
        <v>0.208218999698564</v>
      </c>
      <c r="E89" s="91">
        <v>0.12727975256954199</v>
      </c>
      <c r="F89" s="105"/>
      <c r="G89" s="90">
        <v>8.0694929537034693E-2</v>
      </c>
      <c r="H89" s="93">
        <v>0.71016290319742004</v>
      </c>
      <c r="I89" s="71"/>
      <c r="J89" s="71"/>
      <c r="K89" s="71"/>
      <c r="L89" s="71"/>
      <c r="M89" s="71"/>
      <c r="N89" s="103">
        <v>0.371111111111111</v>
      </c>
      <c r="O89" s="104">
        <v>0.43444444444444402</v>
      </c>
      <c r="S89" s="20">
        <v>0.98</v>
      </c>
      <c r="T89" s="21">
        <f t="shared" si="9"/>
        <v>0.31000000000000005</v>
      </c>
      <c r="V89" s="99">
        <f t="shared" si="10"/>
        <v>0.31000000000000005</v>
      </c>
      <c r="W89" s="46">
        <f t="shared" si="14"/>
        <v>0</v>
      </c>
      <c r="Y89" s="20">
        <v>0.98</v>
      </c>
      <c r="Z89" s="21">
        <f t="shared" si="17"/>
        <v>8.4999999999999853E-2</v>
      </c>
      <c r="AB89" s="99">
        <f t="shared" si="15"/>
        <v>8.4999999999999853E-2</v>
      </c>
      <c r="AC89" s="46">
        <f t="shared" si="16"/>
        <v>0</v>
      </c>
    </row>
    <row r="90" spans="4:29" ht="15.75" thickBot="1" x14ac:dyDescent="0.25">
      <c r="D90" s="90">
        <v>0.23728856632735801</v>
      </c>
      <c r="E90" s="91">
        <v>0.14199755323441701</v>
      </c>
      <c r="F90" s="105"/>
      <c r="G90" s="90">
        <v>8.1558376758376697E-2</v>
      </c>
      <c r="H90" s="93">
        <v>6.5165423137994699E-2</v>
      </c>
      <c r="I90" s="71"/>
      <c r="J90" s="71"/>
      <c r="K90" s="71"/>
      <c r="L90" s="71"/>
      <c r="M90" s="71"/>
      <c r="N90" s="103">
        <v>0.3</v>
      </c>
      <c r="O90" s="104">
        <v>0.46207570207570198</v>
      </c>
      <c r="S90" s="27">
        <v>1</v>
      </c>
      <c r="T90" s="28">
        <f t="shared" si="9"/>
        <v>0.31000000000000005</v>
      </c>
      <c r="U90" s="115"/>
      <c r="V90" s="116">
        <f t="shared" si="10"/>
        <v>0.31000000000000005</v>
      </c>
      <c r="W90" s="46">
        <f t="shared" si="14"/>
        <v>0</v>
      </c>
      <c r="Y90" s="27">
        <v>1</v>
      </c>
      <c r="Z90" s="28">
        <f t="shared" si="17"/>
        <v>8.4999999999999853E-2</v>
      </c>
      <c r="AA90" s="115"/>
      <c r="AB90" s="116">
        <f t="shared" si="15"/>
        <v>8.4999999999999853E-2</v>
      </c>
      <c r="AC90" s="46">
        <f t="shared" si="16"/>
        <v>0</v>
      </c>
    </row>
    <row r="91" spans="4:29" ht="15" x14ac:dyDescent="0.2">
      <c r="D91" s="90">
        <v>0.26079747721844798</v>
      </c>
      <c r="E91" s="91">
        <v>0.17356088951471199</v>
      </c>
      <c r="F91" s="105"/>
      <c r="G91" s="90">
        <v>8.0856430056430006E-2</v>
      </c>
      <c r="H91" s="93">
        <v>3.8595715404286801E-2</v>
      </c>
      <c r="I91" s="71"/>
      <c r="J91" s="71"/>
      <c r="K91" s="71"/>
      <c r="L91" s="71"/>
      <c r="M91" s="71"/>
      <c r="N91" s="103">
        <v>0.29666666666666602</v>
      </c>
      <c r="O91" s="104">
        <v>0.4752442002442</v>
      </c>
    </row>
    <row r="92" spans="4:29" ht="15" x14ac:dyDescent="0.2">
      <c r="D92" s="90">
        <v>0.26530105780601398</v>
      </c>
      <c r="E92" s="91">
        <v>0.15184627815954399</v>
      </c>
      <c r="F92" s="105"/>
      <c r="G92" s="90">
        <v>8.3373938152885504E-2</v>
      </c>
      <c r="H92" s="93">
        <v>0.69207919010268704</v>
      </c>
      <c r="I92" s="71"/>
      <c r="J92" s="71"/>
      <c r="K92" s="71"/>
      <c r="L92" s="71"/>
      <c r="M92" s="71"/>
      <c r="N92" s="103">
        <v>0.31333333333333302</v>
      </c>
      <c r="O92" s="104">
        <v>0.46544566544566501</v>
      </c>
    </row>
    <row r="93" spans="4:29" ht="15" x14ac:dyDescent="0.2">
      <c r="D93" s="90">
        <v>0.30097734412317101</v>
      </c>
      <c r="E93" s="91">
        <v>0.16454578081171101</v>
      </c>
      <c r="F93" s="105"/>
      <c r="G93" s="90">
        <v>8.4176071167375494E-2</v>
      </c>
      <c r="H93" s="93">
        <v>0.13764467043735901</v>
      </c>
      <c r="I93" s="71"/>
      <c r="J93" s="71"/>
      <c r="K93" s="71"/>
      <c r="L93" s="71"/>
      <c r="M93" s="71"/>
      <c r="N93" s="103">
        <v>0.29666666666666602</v>
      </c>
      <c r="O93" s="104">
        <v>0.43568376068376002</v>
      </c>
    </row>
    <row r="94" spans="4:29" ht="15" x14ac:dyDescent="0.2">
      <c r="D94" s="90">
        <v>0.309115996939272</v>
      </c>
      <c r="E94" s="91">
        <v>0.18681870750110099</v>
      </c>
      <c r="F94" s="105"/>
      <c r="G94" s="90">
        <v>8.5682858621989003E-2</v>
      </c>
      <c r="H94" s="93">
        <v>0.652475872621194</v>
      </c>
      <c r="I94" s="71"/>
      <c r="J94" s="71"/>
      <c r="K94" s="71"/>
      <c r="L94" s="71"/>
      <c r="M94" s="71"/>
      <c r="N94" s="103">
        <v>0.28333333333333299</v>
      </c>
      <c r="O94" s="104">
        <v>0.42242368742368702</v>
      </c>
    </row>
    <row r="95" spans="4:29" ht="15" x14ac:dyDescent="0.2">
      <c r="D95" s="90">
        <v>0.33308600180861098</v>
      </c>
      <c r="E95" s="91">
        <v>0.16992722927786899</v>
      </c>
      <c r="F95" s="105"/>
      <c r="G95" s="90">
        <v>8.3022437022437001E-2</v>
      </c>
      <c r="H95" s="93">
        <v>0.47764017025445499</v>
      </c>
      <c r="I95" s="71"/>
      <c r="J95" s="71"/>
      <c r="K95" s="71"/>
      <c r="L95" s="71"/>
      <c r="M95" s="71"/>
      <c r="N95" s="103">
        <v>0.30444444444444402</v>
      </c>
      <c r="O95" s="104">
        <v>0.41594627594627598</v>
      </c>
    </row>
    <row r="96" spans="4:29" ht="15.75" thickBot="1" x14ac:dyDescent="0.25">
      <c r="D96" s="90">
        <v>0.334572513738493</v>
      </c>
      <c r="E96" s="91">
        <v>0.19419908782897</v>
      </c>
      <c r="F96" s="105"/>
      <c r="G96" s="90">
        <v>8.6271447471447396E-2</v>
      </c>
      <c r="H96" s="93">
        <v>0.61039866497700201</v>
      </c>
      <c r="I96" s="71"/>
      <c r="J96" s="71"/>
      <c r="K96" s="71"/>
      <c r="L96" s="71"/>
      <c r="M96" s="71"/>
      <c r="N96" s="117">
        <v>7.1111111111111097E-2</v>
      </c>
      <c r="O96" s="118">
        <v>0.71796092796092803</v>
      </c>
    </row>
    <row r="97" spans="4:10" ht="15" x14ac:dyDescent="0.2">
      <c r="D97" s="90">
        <v>0.320725930391634</v>
      </c>
      <c r="E97" s="91">
        <v>0.18873615036932201</v>
      </c>
      <c r="F97" s="105"/>
      <c r="G97" s="90">
        <v>8.6552226152226103E-2</v>
      </c>
      <c r="H97" s="93">
        <v>9.0639330220432093E-2</v>
      </c>
      <c r="I97" s="71"/>
      <c r="J97" s="71"/>
    </row>
    <row r="98" spans="4:10" ht="15" x14ac:dyDescent="0.2">
      <c r="D98" s="90">
        <v>0.36796948176316402</v>
      </c>
      <c r="E98" s="91">
        <v>0.21368590668738</v>
      </c>
      <c r="F98" s="105"/>
      <c r="G98" s="90">
        <v>8.71247229429047E-2</v>
      </c>
      <c r="H98" s="93">
        <v>5.6559354467433702E-2</v>
      </c>
      <c r="I98" s="71"/>
      <c r="J98" s="71"/>
    </row>
    <row r="99" spans="4:10" ht="15" x14ac:dyDescent="0.2">
      <c r="D99" s="90">
        <v>0.394280742922067</v>
      </c>
      <c r="E99" s="91">
        <v>0.22105996383394699</v>
      </c>
      <c r="F99" s="105"/>
      <c r="G99" s="90">
        <v>8.6993449793449695E-2</v>
      </c>
      <c r="H99" s="93">
        <v>0.18799840793930001</v>
      </c>
      <c r="I99" s="71"/>
      <c r="J99" s="71"/>
    </row>
    <row r="100" spans="4:10" ht="15" x14ac:dyDescent="0.2">
      <c r="D100" s="90">
        <v>0.402952062513043</v>
      </c>
      <c r="E100" s="91">
        <v>0.248021766658164</v>
      </c>
      <c r="F100" s="105"/>
      <c r="G100" s="90">
        <v>8.7234117234117198E-2</v>
      </c>
      <c r="H100" s="93">
        <v>0.160979255093466</v>
      </c>
      <c r="I100" s="71"/>
      <c r="J100" s="71"/>
    </row>
    <row r="101" spans="4:10" ht="15" x14ac:dyDescent="0.2">
      <c r="D101" s="90">
        <v>0.46761533146288797</v>
      </c>
      <c r="E101" s="91">
        <v>0.27683229481917698</v>
      </c>
      <c r="F101" s="105"/>
      <c r="G101" s="90">
        <v>8.8076453276453207E-2</v>
      </c>
      <c r="H101" s="93">
        <v>0.43044375399158302</v>
      </c>
      <c r="I101" s="71"/>
      <c r="J101" s="71"/>
    </row>
    <row r="102" spans="4:10" ht="15" x14ac:dyDescent="0.2">
      <c r="D102" s="90">
        <v>0.49362929023581498</v>
      </c>
      <c r="E102" s="91">
        <v>0.27312568518716002</v>
      </c>
      <c r="F102" s="105"/>
      <c r="G102" s="90">
        <v>8.6090946890946804E-2</v>
      </c>
      <c r="H102" s="93">
        <v>0.413818345237773</v>
      </c>
      <c r="I102" s="71"/>
      <c r="J102" s="71"/>
    </row>
    <row r="103" spans="4:10" ht="15" x14ac:dyDescent="0.2">
      <c r="D103" s="90">
        <v>0.503886222551997</v>
      </c>
      <c r="E103" s="91">
        <v>0.29955164214591001</v>
      </c>
      <c r="F103" s="105"/>
      <c r="G103" s="90">
        <v>8.7964714821857706E-2</v>
      </c>
      <c r="H103" s="93">
        <v>0.70039855133442996</v>
      </c>
      <c r="I103" s="71"/>
      <c r="J103" s="71"/>
    </row>
    <row r="104" spans="4:10" ht="15" x14ac:dyDescent="0.2">
      <c r="D104" s="90">
        <v>0.53406241472859195</v>
      </c>
      <c r="E104" s="91">
        <v>0.30204565680586798</v>
      </c>
      <c r="F104" s="105"/>
      <c r="G104" s="90">
        <v>8.8798455598455603E-2</v>
      </c>
      <c r="H104" s="93">
        <v>0.78781440916226597</v>
      </c>
      <c r="I104" s="71"/>
      <c r="J104" s="71"/>
    </row>
    <row r="105" spans="4:10" ht="15" x14ac:dyDescent="0.2">
      <c r="D105" s="90">
        <v>0.55903581515060097</v>
      </c>
      <c r="E105" s="91">
        <v>0.298834130365355</v>
      </c>
      <c r="F105" s="105"/>
      <c r="G105" s="90">
        <v>8.98814590814591E-2</v>
      </c>
      <c r="H105" s="93">
        <v>0.13393715209225401</v>
      </c>
      <c r="I105" s="71"/>
      <c r="J105" s="71"/>
    </row>
    <row r="106" spans="4:10" ht="15" x14ac:dyDescent="0.2">
      <c r="D106" s="90">
        <v>0.572414422519535</v>
      </c>
      <c r="E106" s="91">
        <v>0.31818389098862998</v>
      </c>
      <c r="F106" s="105"/>
      <c r="G106" s="90">
        <v>9.1024629424629397E-2</v>
      </c>
      <c r="H106" s="93">
        <v>0.65890562544394304</v>
      </c>
      <c r="I106" s="71"/>
      <c r="J106" s="71"/>
    </row>
    <row r="107" spans="4:10" ht="15" x14ac:dyDescent="0.2">
      <c r="D107" s="90">
        <v>0.63782094743432205</v>
      </c>
      <c r="E107" s="91">
        <v>0.36839677746809801</v>
      </c>
      <c r="F107" s="105"/>
      <c r="G107" s="90">
        <v>9.09644625644625E-2</v>
      </c>
      <c r="H107" s="93">
        <v>0.63216640485192899</v>
      </c>
      <c r="I107" s="71"/>
      <c r="J107" s="71"/>
    </row>
    <row r="108" spans="4:10" ht="15" x14ac:dyDescent="0.2">
      <c r="D108" s="90">
        <v>0.67647025761124102</v>
      </c>
      <c r="E108" s="91">
        <v>0.37712265755250002</v>
      </c>
      <c r="F108" s="105"/>
      <c r="G108" s="90">
        <v>9.1325463725463699E-2</v>
      </c>
      <c r="H108" s="93">
        <v>0.48603645559074099</v>
      </c>
      <c r="I108" s="71"/>
      <c r="J108" s="71"/>
    </row>
    <row r="109" spans="4:10" ht="15" x14ac:dyDescent="0.2">
      <c r="D109" s="90">
        <v>0.67888583949729797</v>
      </c>
      <c r="E109" s="91">
        <v>0.35444195575084397</v>
      </c>
      <c r="F109" s="105"/>
      <c r="G109" s="90">
        <v>9.1637237455419199E-2</v>
      </c>
      <c r="H109" s="93">
        <v>0.61429414024575402</v>
      </c>
      <c r="I109" s="71"/>
      <c r="J109" s="71"/>
    </row>
    <row r="110" spans="4:10" ht="15" x14ac:dyDescent="0.2">
      <c r="D110" s="90">
        <v>0.69876793655946401</v>
      </c>
      <c r="E110" s="91">
        <v>0.35619062426786002</v>
      </c>
      <c r="F110" s="105"/>
      <c r="G110" s="90">
        <v>9.2434253005681505E-2</v>
      </c>
      <c r="H110" s="93">
        <v>9.7939683215321802E-2</v>
      </c>
      <c r="I110" s="71"/>
      <c r="J110" s="71"/>
    </row>
    <row r="111" spans="4:10" ht="15" x14ac:dyDescent="0.2">
      <c r="D111" s="90">
        <v>0.724899251537381</v>
      </c>
      <c r="E111" s="91">
        <v>0.38864327423981099</v>
      </c>
      <c r="F111" s="105"/>
      <c r="G111" s="90">
        <v>9.2170966444650601E-2</v>
      </c>
      <c r="H111" s="93">
        <v>3.51161273460689E-2</v>
      </c>
      <c r="I111" s="71"/>
      <c r="J111" s="71"/>
    </row>
    <row r="112" spans="4:10" ht="15" x14ac:dyDescent="0.2">
      <c r="D112" s="90">
        <v>0.75376887796507996</v>
      </c>
      <c r="E112" s="91">
        <v>0.39353414841437301</v>
      </c>
      <c r="F112" s="105"/>
      <c r="G112" s="90">
        <v>9.2567732426555902E-2</v>
      </c>
      <c r="H112" s="93">
        <v>6.9825143360322403E-2</v>
      </c>
      <c r="I112" s="71"/>
      <c r="J112" s="71"/>
    </row>
    <row r="113" spans="4:10" ht="15" x14ac:dyDescent="0.2">
      <c r="D113" s="90">
        <v>0.80282377165117003</v>
      </c>
      <c r="E113" s="91">
        <v>0.38806992200484602</v>
      </c>
      <c r="F113" s="105"/>
      <c r="G113" s="90">
        <v>9.1763822278108004E-2</v>
      </c>
      <c r="H113" s="93">
        <v>0.18697841310958699</v>
      </c>
      <c r="I113" s="71"/>
      <c r="J113" s="71"/>
    </row>
    <row r="114" spans="4:10" ht="15" x14ac:dyDescent="0.2">
      <c r="D114" s="90">
        <v>0.83973881790989402</v>
      </c>
      <c r="E114" s="91">
        <v>0.38880821041729402</v>
      </c>
      <c r="F114" s="105"/>
      <c r="G114" s="90">
        <v>9.3227662150738994E-2</v>
      </c>
      <c r="H114" s="93">
        <v>0.15813546802947601</v>
      </c>
      <c r="I114" s="71"/>
      <c r="J114" s="71"/>
    </row>
    <row r="115" spans="4:10" ht="15" x14ac:dyDescent="0.2">
      <c r="D115" s="90">
        <v>0.87120332042571902</v>
      </c>
      <c r="E115" s="91">
        <v>0.40149070560451799</v>
      </c>
      <c r="F115" s="105"/>
      <c r="G115" s="90">
        <v>9.3289734748558298E-2</v>
      </c>
      <c r="H115" s="93">
        <v>0.22043268245936501</v>
      </c>
      <c r="I115" s="71"/>
      <c r="J115" s="71"/>
    </row>
    <row r="116" spans="4:10" ht="15" x14ac:dyDescent="0.2">
      <c r="D116" s="90">
        <v>0.87541510422705004</v>
      </c>
      <c r="E116" s="91">
        <v>0.38708096613876802</v>
      </c>
      <c r="F116" s="105"/>
      <c r="G116" s="90">
        <v>9.3379732236875096E-2</v>
      </c>
      <c r="H116" s="93">
        <v>0.41806162380324402</v>
      </c>
      <c r="I116" s="71"/>
      <c r="J116" s="71"/>
    </row>
    <row r="117" spans="4:10" ht="15" x14ac:dyDescent="0.2">
      <c r="D117" s="90">
        <v>0.90687960674287604</v>
      </c>
      <c r="E117" s="91">
        <v>0.39728006546640598</v>
      </c>
      <c r="F117" s="105"/>
      <c r="G117" s="90">
        <v>9.2588967788967705E-2</v>
      </c>
      <c r="H117" s="93">
        <v>0.69758362709546295</v>
      </c>
      <c r="I117" s="71"/>
      <c r="J117" s="71"/>
    </row>
    <row r="118" spans="4:10" ht="15" x14ac:dyDescent="0.2">
      <c r="D118" s="90">
        <v>0.907404258012246</v>
      </c>
      <c r="E118" s="91">
        <v>0.37783500011466298</v>
      </c>
      <c r="F118" s="105"/>
      <c r="G118" s="90">
        <v>9.2588967788967705E-2</v>
      </c>
      <c r="H118" s="93">
        <v>0.78766461516861497</v>
      </c>
      <c r="I118" s="71"/>
      <c r="J118" s="71"/>
    </row>
    <row r="119" spans="4:10" ht="15" x14ac:dyDescent="0.2">
      <c r="D119" s="90">
        <v>0.93826152526259599</v>
      </c>
      <c r="E119" s="91">
        <v>0.38867983410512702</v>
      </c>
      <c r="F119" s="105"/>
      <c r="G119" s="90">
        <v>9.4574474174474094E-2</v>
      </c>
      <c r="H119" s="93">
        <v>0.387401913376199</v>
      </c>
      <c r="I119" s="71"/>
      <c r="J119" s="71"/>
    </row>
    <row r="120" spans="4:10" ht="15" x14ac:dyDescent="0.2">
      <c r="D120" s="90">
        <v>0.95552908808445203</v>
      </c>
      <c r="E120" s="91">
        <v>0.38310443160924901</v>
      </c>
      <c r="F120" s="105"/>
      <c r="G120" s="90">
        <v>9.5966907224050005E-2</v>
      </c>
      <c r="H120" s="93">
        <v>5.6963728705932803E-2</v>
      </c>
      <c r="I120" s="71"/>
      <c r="J120" s="71"/>
    </row>
    <row r="121" spans="4:10" ht="15" x14ac:dyDescent="0.2">
      <c r="D121" s="90">
        <v>0.98695304936582595</v>
      </c>
      <c r="E121" s="91">
        <v>0.38549030294339898</v>
      </c>
      <c r="F121" s="105"/>
      <c r="G121" s="90">
        <v>9.6661060885060796E-2</v>
      </c>
      <c r="H121" s="93">
        <v>0.64165564142992704</v>
      </c>
      <c r="I121" s="71"/>
      <c r="J121" s="71"/>
    </row>
    <row r="122" spans="4:10" ht="15" x14ac:dyDescent="0.2">
      <c r="D122" s="90">
        <v>0.99309729867600305</v>
      </c>
      <c r="E122" s="91">
        <v>0.40673224426854798</v>
      </c>
      <c r="F122" s="105"/>
      <c r="G122" s="90">
        <v>9.71014823014823E-2</v>
      </c>
      <c r="H122" s="93">
        <v>0.52236348670634303</v>
      </c>
      <c r="I122" s="71"/>
      <c r="J122" s="71"/>
    </row>
    <row r="123" spans="4:10" ht="15" x14ac:dyDescent="0.2">
      <c r="D123" s="90">
        <v>1.01167869779952</v>
      </c>
      <c r="E123" s="91">
        <v>0.390316804390134</v>
      </c>
      <c r="F123" s="105"/>
      <c r="G123" s="90">
        <v>9.4935475335475306E-2</v>
      </c>
      <c r="H123" s="93">
        <v>0.48620879066879003</v>
      </c>
      <c r="I123" s="71"/>
      <c r="J123" s="71"/>
    </row>
    <row r="124" spans="4:10" ht="15" x14ac:dyDescent="0.2">
      <c r="D124" s="90">
        <v>1.0035028821851699</v>
      </c>
      <c r="E124" s="91">
        <v>0.37553682460330301</v>
      </c>
      <c r="F124" s="105"/>
      <c r="G124" s="90">
        <v>9.7900842015127706E-2</v>
      </c>
      <c r="H124" s="93">
        <v>0.61327357001961003</v>
      </c>
      <c r="I124" s="71"/>
      <c r="J124" s="71"/>
    </row>
    <row r="125" spans="4:10" ht="15.75" thickBot="1" x14ac:dyDescent="0.25">
      <c r="D125" s="112">
        <v>2.6837016254318599E-2</v>
      </c>
      <c r="E125" s="113">
        <v>7.1729439922914003E-3</v>
      </c>
      <c r="F125" s="114"/>
      <c r="G125" s="90">
        <v>9.7768549664201801E-2</v>
      </c>
      <c r="H125" s="93">
        <v>0.318928852475657</v>
      </c>
      <c r="I125" s="71"/>
      <c r="J125" s="71"/>
    </row>
    <row r="126" spans="4:10" ht="15" x14ac:dyDescent="0.2">
      <c r="D126" s="109">
        <v>2.3406183353982899E-2</v>
      </c>
      <c r="E126" s="119">
        <v>-1.80464553634818E-3</v>
      </c>
      <c r="F126" s="92" t="s">
        <v>86</v>
      </c>
      <c r="G126" s="90">
        <v>9.7591412448555306E-2</v>
      </c>
      <c r="H126" s="93">
        <v>0.29229781809239502</v>
      </c>
      <c r="I126" s="71"/>
      <c r="J126" s="71"/>
    </row>
    <row r="127" spans="4:10" ht="15" x14ac:dyDescent="0.2">
      <c r="D127" s="90">
        <v>2.9013741486354602E-2</v>
      </c>
      <c r="E127" s="93">
        <v>3.8110934678551298E-3</v>
      </c>
      <c r="F127" s="105"/>
      <c r="G127" s="90">
        <v>9.8405097605097594E-2</v>
      </c>
      <c r="H127" s="93">
        <v>0.26149673860759498</v>
      </c>
      <c r="I127" s="71"/>
      <c r="J127" s="71"/>
    </row>
    <row r="128" spans="4:10" ht="15" x14ac:dyDescent="0.2">
      <c r="D128" s="90">
        <v>7.9192678435748107E-2</v>
      </c>
      <c r="E128" s="93">
        <v>1.21472360916049E-2</v>
      </c>
      <c r="F128" s="105"/>
      <c r="G128" s="90">
        <v>9.8485320085320002E-2</v>
      </c>
      <c r="H128" s="93">
        <v>8.7328261725404602E-2</v>
      </c>
      <c r="I128" s="71"/>
      <c r="J128" s="71"/>
    </row>
    <row r="129" spans="4:10" ht="15" x14ac:dyDescent="0.2">
      <c r="D129" s="90">
        <v>0.22900464456598299</v>
      </c>
      <c r="E129" s="93">
        <v>5.2277954656195599E-2</v>
      </c>
      <c r="F129" s="105"/>
      <c r="G129" s="90">
        <v>9.8364986364986307E-2</v>
      </c>
      <c r="H129" s="93">
        <v>0.15771569007715899</v>
      </c>
      <c r="I129" s="71"/>
      <c r="J129" s="71"/>
    </row>
    <row r="130" spans="4:10" ht="15" x14ac:dyDescent="0.2">
      <c r="D130" s="90">
        <v>0.39330404233035998</v>
      </c>
      <c r="E130" s="93">
        <v>7.7960836940010103E-2</v>
      </c>
      <c r="F130" s="105"/>
      <c r="G130" s="90">
        <v>9.8906488106488097E-2</v>
      </c>
      <c r="H130" s="93">
        <v>0.22707635095002399</v>
      </c>
      <c r="I130" s="71"/>
      <c r="J130" s="71"/>
    </row>
    <row r="131" spans="4:10" ht="15" x14ac:dyDescent="0.2">
      <c r="D131" s="90">
        <v>0.48528361971127099</v>
      </c>
      <c r="E131" s="93">
        <v>7.2431791108945598E-2</v>
      </c>
      <c r="F131" s="105"/>
      <c r="G131" s="90">
        <v>9.9123088803088802E-2</v>
      </c>
      <c r="H131" s="93">
        <v>0.204013904419203</v>
      </c>
      <c r="I131" s="71"/>
      <c r="J131" s="71"/>
    </row>
    <row r="132" spans="4:10" ht="15" x14ac:dyDescent="0.2">
      <c r="D132" s="90">
        <v>0.54636929323905203</v>
      </c>
      <c r="E132" s="93">
        <v>8.2751687924561099E-2</v>
      </c>
      <c r="F132" s="105"/>
      <c r="G132" s="90">
        <v>9.97105361468998E-2</v>
      </c>
      <c r="H132" s="93">
        <v>0.41238843019962201</v>
      </c>
      <c r="I132" s="71"/>
      <c r="J132" s="71"/>
    </row>
    <row r="133" spans="4:10" ht="15" x14ac:dyDescent="0.2">
      <c r="D133" s="90">
        <v>0.63454272614638996</v>
      </c>
      <c r="E133" s="93">
        <v>6.7806330935252193E-2</v>
      </c>
      <c r="F133" s="105"/>
      <c r="G133" s="90">
        <v>0.10071149391149301</v>
      </c>
      <c r="H133" s="93">
        <v>0.37717219621515702</v>
      </c>
      <c r="I133" s="71"/>
      <c r="J133" s="71"/>
    </row>
    <row r="134" spans="4:10" ht="15" x14ac:dyDescent="0.2">
      <c r="D134" s="90">
        <v>0.64838361711011705</v>
      </c>
      <c r="E134" s="93">
        <v>5.7287143798905198E-2</v>
      </c>
      <c r="F134" s="105"/>
      <c r="G134" s="90">
        <v>0.10071149391149301</v>
      </c>
      <c r="H134" s="93">
        <v>0.12018740548381</v>
      </c>
      <c r="I134" s="71"/>
      <c r="J134" s="71"/>
    </row>
    <row r="135" spans="4:10" ht="15" x14ac:dyDescent="0.2">
      <c r="D135" s="90">
        <v>0.72471137457303403</v>
      </c>
      <c r="E135" s="93">
        <v>7.2340259680701902E-2</v>
      </c>
      <c r="F135" s="105"/>
      <c r="G135" s="90">
        <v>0.10090918502347</v>
      </c>
      <c r="H135" s="93">
        <v>5.4244448801781302E-2</v>
      </c>
      <c r="I135" s="71"/>
      <c r="J135" s="71"/>
    </row>
    <row r="136" spans="4:10" ht="15" x14ac:dyDescent="0.2">
      <c r="D136" s="90">
        <v>0.97991295398384104</v>
      </c>
      <c r="E136" s="93">
        <v>9.8224808123746302E-2</v>
      </c>
      <c r="F136" s="105"/>
      <c r="G136" s="90">
        <v>0.10238757073042699</v>
      </c>
      <c r="H136" s="93">
        <v>0.354687680510333</v>
      </c>
      <c r="I136" s="71"/>
      <c r="J136" s="71"/>
    </row>
    <row r="137" spans="4:10" ht="15.75" thickBot="1" x14ac:dyDescent="0.25">
      <c r="D137" s="112">
        <v>0.99905996860712398</v>
      </c>
      <c r="E137" s="120">
        <v>8.2482151262134304E-2</v>
      </c>
      <c r="F137" s="114"/>
      <c r="G137" s="90">
        <v>0.102697000297</v>
      </c>
      <c r="H137" s="93">
        <v>2.8684772339629499E-2</v>
      </c>
      <c r="I137" s="71"/>
      <c r="J137" s="71"/>
    </row>
    <row r="138" spans="4:10" ht="15" x14ac:dyDescent="0.2">
      <c r="D138" s="121">
        <v>3.2709772966583499E-2</v>
      </c>
      <c r="E138" s="100">
        <v>9.3606520860620695E-3</v>
      </c>
      <c r="F138" s="92" t="s">
        <v>87</v>
      </c>
      <c r="G138" s="90">
        <v>0.103105088565958</v>
      </c>
      <c r="H138" s="93">
        <v>0.62954818968220905</v>
      </c>
      <c r="I138" s="71"/>
      <c r="J138" s="71"/>
    </row>
    <row r="139" spans="4:10" ht="15" x14ac:dyDescent="0.2">
      <c r="D139" s="122">
        <v>4.8978647042135601E-2</v>
      </c>
      <c r="E139" s="99">
        <v>3.8534371712582699E-2</v>
      </c>
      <c r="F139" s="102" t="s">
        <v>88</v>
      </c>
      <c r="G139" s="90">
        <v>0.100891994491994</v>
      </c>
      <c r="H139" s="93">
        <v>0.52232738659024303</v>
      </c>
      <c r="I139" s="71"/>
      <c r="J139" s="71"/>
    </row>
    <row r="140" spans="4:10" ht="15" x14ac:dyDescent="0.2">
      <c r="D140" s="122">
        <v>2.3083549977051698E-2</v>
      </c>
      <c r="E140" s="99">
        <v>-1.24559977018945E-3</v>
      </c>
      <c r="F140" s="105"/>
      <c r="G140" s="90">
        <v>0.103238502038502</v>
      </c>
      <c r="H140" s="93">
        <v>0.45615587377873001</v>
      </c>
      <c r="I140" s="71"/>
      <c r="J140" s="71"/>
    </row>
    <row r="141" spans="4:10" ht="15" x14ac:dyDescent="0.2">
      <c r="D141" s="122">
        <v>5.6001717830942897E-2</v>
      </c>
      <c r="E141" s="99">
        <v>2.87140860911347E-2</v>
      </c>
      <c r="F141" s="105"/>
      <c r="G141" s="90">
        <v>0.10336743102457301</v>
      </c>
      <c r="H141" s="93">
        <v>0.611132689880445</v>
      </c>
      <c r="I141" s="71"/>
      <c r="J141" s="71"/>
    </row>
    <row r="142" spans="4:10" ht="15" x14ac:dyDescent="0.2">
      <c r="D142" s="122">
        <v>9.7251183789100706E-2</v>
      </c>
      <c r="E142" s="99">
        <v>3.8953329568083499E-2</v>
      </c>
      <c r="F142" s="105"/>
      <c r="G142" s="90">
        <v>0.103516195239272</v>
      </c>
      <c r="H142" s="93">
        <v>0.31466988912711502</v>
      </c>
      <c r="I142" s="71"/>
      <c r="J142" s="71"/>
    </row>
    <row r="143" spans="4:10" ht="15" x14ac:dyDescent="0.2">
      <c r="D143" s="122">
        <v>0.176874244470659</v>
      </c>
      <c r="E143" s="99">
        <v>9.9344054262087006E-2</v>
      </c>
      <c r="F143" s="105"/>
      <c r="G143" s="90">
        <v>0.101914831114831</v>
      </c>
      <c r="H143" s="93">
        <v>0.255252640960069</v>
      </c>
      <c r="I143" s="71"/>
      <c r="J143" s="71"/>
    </row>
    <row r="144" spans="4:10" ht="15" x14ac:dyDescent="0.2">
      <c r="D144" s="122">
        <v>0.39339672042832402</v>
      </c>
      <c r="E144" s="99">
        <v>0.19956684289312501</v>
      </c>
      <c r="F144" s="105"/>
      <c r="G144" s="90">
        <v>0.10453339750731</v>
      </c>
      <c r="H144" s="93">
        <v>0.14928515597997899</v>
      </c>
      <c r="I144" s="71"/>
      <c r="J144" s="71"/>
    </row>
    <row r="145" spans="4:10" ht="15" x14ac:dyDescent="0.2">
      <c r="D145" s="122">
        <v>0.40472074584145601</v>
      </c>
      <c r="E145" s="99">
        <v>0.219348869451328</v>
      </c>
      <c r="F145" s="105"/>
      <c r="G145" s="90">
        <v>0.104654737362429</v>
      </c>
      <c r="H145" s="93">
        <v>0.20804465454469601</v>
      </c>
      <c r="I145" s="71"/>
      <c r="J145" s="71"/>
    </row>
    <row r="146" spans="4:10" ht="15" x14ac:dyDescent="0.2">
      <c r="D146" s="122">
        <v>0.51228060114485396</v>
      </c>
      <c r="E146" s="99">
        <v>0.22477927035303999</v>
      </c>
      <c r="F146" s="105"/>
      <c r="G146" s="90">
        <v>0.104895825550371</v>
      </c>
      <c r="H146" s="93">
        <v>9.6561395876832407E-2</v>
      </c>
      <c r="I146" s="71"/>
      <c r="J146" s="71"/>
    </row>
    <row r="147" spans="4:10" ht="15" x14ac:dyDescent="0.2">
      <c r="D147" s="122">
        <v>0.59999591133430397</v>
      </c>
      <c r="E147" s="99">
        <v>0.27437806791712199</v>
      </c>
      <c r="F147" s="105"/>
      <c r="G147" s="90">
        <v>0.105776127846716</v>
      </c>
      <c r="H147" s="93">
        <v>0.29245986072666502</v>
      </c>
      <c r="I147" s="71"/>
      <c r="J147" s="71"/>
    </row>
    <row r="148" spans="4:10" ht="15" x14ac:dyDescent="0.2">
      <c r="D148" s="122">
        <v>0.62173503520213003</v>
      </c>
      <c r="E148" s="99">
        <v>0.26991490454605199</v>
      </c>
      <c r="F148" s="105"/>
      <c r="G148" s="90">
        <v>0.10594601074601</v>
      </c>
      <c r="H148" s="93">
        <v>0.39913726756303902</v>
      </c>
      <c r="I148" s="71"/>
      <c r="J148" s="71"/>
    </row>
    <row r="149" spans="4:10" ht="15" x14ac:dyDescent="0.2">
      <c r="D149" s="122">
        <v>0.626257895591665</v>
      </c>
      <c r="E149" s="99">
        <v>0.229622018853222</v>
      </c>
      <c r="F149" s="105"/>
      <c r="G149" s="90">
        <v>0.10823942988648801</v>
      </c>
      <c r="H149" s="93">
        <v>0.36516503340946999</v>
      </c>
      <c r="I149" s="71"/>
      <c r="J149" s="71"/>
    </row>
    <row r="150" spans="4:10" ht="15" x14ac:dyDescent="0.2">
      <c r="D150" s="122">
        <v>0.63137361884266097</v>
      </c>
      <c r="E150" s="99">
        <v>0.240197821673231</v>
      </c>
      <c r="F150" s="105"/>
      <c r="G150" s="90">
        <v>0.108028709751786</v>
      </c>
      <c r="H150" s="93">
        <v>0.33501201367100703</v>
      </c>
      <c r="I150" s="71"/>
      <c r="J150" s="71"/>
    </row>
    <row r="151" spans="4:10" ht="15" x14ac:dyDescent="0.2">
      <c r="D151" s="122">
        <v>0.71411114239867601</v>
      </c>
      <c r="E151" s="99">
        <v>0.279790955610627</v>
      </c>
      <c r="F151" s="105"/>
      <c r="G151" s="90">
        <v>0.108533185733185</v>
      </c>
      <c r="H151" s="93">
        <v>0.18006675601274399</v>
      </c>
      <c r="I151" s="71"/>
      <c r="J151" s="71"/>
    </row>
    <row r="152" spans="4:10" ht="15" x14ac:dyDescent="0.2">
      <c r="D152" s="122">
        <v>0.71399824520913102</v>
      </c>
      <c r="E152" s="99">
        <v>0.23445780640386599</v>
      </c>
      <c r="F152" s="105"/>
      <c r="G152" s="90">
        <v>0.108430548148195</v>
      </c>
      <c r="H152" s="93">
        <v>0.121853090447718</v>
      </c>
      <c r="I152" s="71"/>
      <c r="J152" s="71"/>
    </row>
    <row r="153" spans="4:10" ht="15" x14ac:dyDescent="0.2">
      <c r="D153" s="122">
        <v>0.74679065483541696</v>
      </c>
      <c r="E153" s="99">
        <v>0.229589001026579</v>
      </c>
      <c r="F153" s="105"/>
      <c r="G153" s="90">
        <v>0.107718198263652</v>
      </c>
      <c r="H153" s="93">
        <v>3.7598854468301898E-2</v>
      </c>
      <c r="I153" s="71"/>
      <c r="J153" s="71"/>
    </row>
    <row r="154" spans="4:10" ht="15" x14ac:dyDescent="0.2">
      <c r="D154" s="122">
        <v>0.76321766154293602</v>
      </c>
      <c r="E154" s="99">
        <v>0.284324957275776</v>
      </c>
      <c r="F154" s="105"/>
      <c r="G154" s="90">
        <v>0.10877385317385301</v>
      </c>
      <c r="H154" s="93">
        <v>0.63480827568239795</v>
      </c>
      <c r="I154" s="71"/>
      <c r="J154" s="71"/>
    </row>
    <row r="155" spans="4:10" ht="15" x14ac:dyDescent="0.2">
      <c r="D155" s="122">
        <v>0.79659011423251502</v>
      </c>
      <c r="E155" s="99">
        <v>0.26939250972240503</v>
      </c>
      <c r="F155" s="105"/>
      <c r="G155" s="90">
        <v>0.109689022783759</v>
      </c>
      <c r="H155" s="93">
        <v>0.467975178456982</v>
      </c>
      <c r="I155" s="71"/>
      <c r="J155" s="71"/>
    </row>
    <row r="156" spans="4:10" ht="15" x14ac:dyDescent="0.2">
      <c r="D156" s="122">
        <v>0.80530303461515895</v>
      </c>
      <c r="E156" s="99">
        <v>0.229987992180615</v>
      </c>
      <c r="F156" s="105"/>
      <c r="G156" s="90">
        <v>0.109917023517023</v>
      </c>
      <c r="H156" s="93">
        <v>0.60256005090030995</v>
      </c>
      <c r="I156" s="71"/>
      <c r="J156" s="71"/>
    </row>
    <row r="157" spans="4:10" ht="15" x14ac:dyDescent="0.2">
      <c r="D157" s="122">
        <v>0.80877958402385397</v>
      </c>
      <c r="E157" s="99">
        <v>0.26971758005805901</v>
      </c>
      <c r="F157" s="105"/>
      <c r="G157" s="90">
        <v>0.109375521775521</v>
      </c>
      <c r="H157" s="93">
        <v>0.54710420704777796</v>
      </c>
      <c r="I157" s="71"/>
      <c r="J157" s="71"/>
    </row>
    <row r="158" spans="4:10" ht="15" x14ac:dyDescent="0.2">
      <c r="D158" s="122">
        <v>0.84596537880306799</v>
      </c>
      <c r="E158" s="99">
        <v>0.269225136337368</v>
      </c>
      <c r="F158" s="105"/>
      <c r="G158" s="90">
        <v>0.108761819801819</v>
      </c>
      <c r="H158" s="93">
        <v>0.48049577539063199</v>
      </c>
      <c r="I158" s="71"/>
      <c r="J158" s="71"/>
    </row>
    <row r="159" spans="4:10" ht="15" x14ac:dyDescent="0.2">
      <c r="D159" s="122">
        <v>0.88132513618251496</v>
      </c>
      <c r="E159" s="99">
        <v>0.27962802277790499</v>
      </c>
      <c r="F159" s="105"/>
      <c r="G159" s="90">
        <v>0.109984711234711</v>
      </c>
      <c r="H159" s="93">
        <v>0.31562966187545599</v>
      </c>
      <c r="I159" s="71"/>
      <c r="J159" s="71"/>
    </row>
    <row r="160" spans="4:10" ht="15" x14ac:dyDescent="0.2">
      <c r="D160" s="122">
        <v>0.95949494373836897</v>
      </c>
      <c r="E160" s="99">
        <v>0.27441123342762602</v>
      </c>
      <c r="F160" s="105"/>
      <c r="G160" s="90">
        <v>0.10955602235602201</v>
      </c>
      <c r="H160" s="93">
        <v>8.3193304606590093E-2</v>
      </c>
      <c r="I160" s="71"/>
      <c r="J160" s="71"/>
    </row>
    <row r="161" spans="4:10" ht="15" x14ac:dyDescent="0.2">
      <c r="D161" s="122">
        <v>0.98097150665031896</v>
      </c>
      <c r="E161" s="99">
        <v>0.23501156039495499</v>
      </c>
      <c r="F161" s="105"/>
      <c r="G161" s="90">
        <v>0.11033819153819099</v>
      </c>
      <c r="H161" s="93">
        <v>0.234688583587466</v>
      </c>
      <c r="I161" s="71"/>
      <c r="J161" s="71"/>
    </row>
    <row r="162" spans="4:10" ht="15" x14ac:dyDescent="0.2">
      <c r="D162" s="122">
        <v>0.99581299286453195</v>
      </c>
      <c r="E162" s="99">
        <v>0.245051658576248</v>
      </c>
      <c r="F162" s="105"/>
      <c r="G162" s="90">
        <v>0.11045852525852499</v>
      </c>
      <c r="H162" s="93">
        <v>0.42569983892555302</v>
      </c>
      <c r="I162" s="71"/>
      <c r="J162" s="71"/>
    </row>
    <row r="163" spans="4:10" ht="15" x14ac:dyDescent="0.2">
      <c r="D163" s="122">
        <v>0.83683035916789905</v>
      </c>
      <c r="E163" s="99">
        <v>0.26986128625472799</v>
      </c>
      <c r="F163" s="105"/>
      <c r="G163" s="90">
        <v>0.111567314538743</v>
      </c>
      <c r="H163" s="93">
        <v>0.14727194922819301</v>
      </c>
      <c r="I163" s="71"/>
      <c r="J163" s="71"/>
    </row>
    <row r="164" spans="4:10" ht="15.75" thickBot="1" x14ac:dyDescent="0.25">
      <c r="D164" s="123">
        <v>0.99781451005652</v>
      </c>
      <c r="E164" s="116">
        <v>0.30466582597730102</v>
      </c>
      <c r="F164" s="114"/>
      <c r="G164" s="90">
        <v>0.112057244685816</v>
      </c>
      <c r="H164" s="93">
        <v>9.7006021603356293E-2</v>
      </c>
      <c r="I164" s="71"/>
      <c r="J164" s="71"/>
    </row>
    <row r="165" spans="4:10" ht="15" x14ac:dyDescent="0.2">
      <c r="G165" s="90">
        <v>0.111590756172574</v>
      </c>
      <c r="H165" s="93">
        <v>0.27460077921668002</v>
      </c>
      <c r="I165" s="71"/>
      <c r="J165" s="71"/>
    </row>
    <row r="166" spans="4:10" ht="15" x14ac:dyDescent="0.2">
      <c r="G166" s="90">
        <v>0.113827869427869</v>
      </c>
      <c r="H166" s="93">
        <v>0.39242475647423303</v>
      </c>
      <c r="I166" s="71"/>
      <c r="J166" s="71"/>
    </row>
    <row r="167" spans="4:10" ht="15" x14ac:dyDescent="0.2">
      <c r="G167" s="90">
        <v>0.113293446140504</v>
      </c>
      <c r="H167" s="93">
        <v>0.35363817516949803</v>
      </c>
      <c r="I167" s="71"/>
      <c r="J167" s="71"/>
    </row>
    <row r="168" spans="4:10" ht="15" x14ac:dyDescent="0.2">
      <c r="G168" s="90">
        <v>0.113740353994899</v>
      </c>
      <c r="H168" s="93">
        <v>0.18872170794854501</v>
      </c>
      <c r="I168" s="71"/>
      <c r="J168" s="71"/>
    </row>
    <row r="169" spans="4:10" ht="15" x14ac:dyDescent="0.2">
      <c r="G169" s="90">
        <v>0.115191651591651</v>
      </c>
      <c r="H169" s="93">
        <v>0.60631999553105298</v>
      </c>
      <c r="I169" s="71"/>
      <c r="J169" s="71"/>
    </row>
    <row r="170" spans="4:10" ht="15" x14ac:dyDescent="0.2">
      <c r="G170" s="90">
        <v>0.11485070605070601</v>
      </c>
      <c r="H170" s="93">
        <v>0.54518178135325601</v>
      </c>
      <c r="I170" s="71"/>
      <c r="J170" s="71"/>
    </row>
    <row r="171" spans="4:10" ht="15" x14ac:dyDescent="0.2">
      <c r="G171" s="90">
        <v>0.11488899405263001</v>
      </c>
      <c r="H171" s="93">
        <v>0.47690445457666197</v>
      </c>
      <c r="I171" s="71"/>
      <c r="J171" s="71"/>
    </row>
    <row r="172" spans="4:10" ht="15" x14ac:dyDescent="0.2">
      <c r="G172" s="90">
        <v>0.116004815822997</v>
      </c>
      <c r="H172" s="93">
        <v>0.33107805159008802</v>
      </c>
      <c r="I172" s="71"/>
      <c r="J172" s="71"/>
    </row>
    <row r="173" spans="4:10" ht="15" x14ac:dyDescent="0.2">
      <c r="G173" s="90">
        <v>0.115620841860841</v>
      </c>
      <c r="H173" s="93">
        <v>0.29726472563553302</v>
      </c>
      <c r="I173" s="71"/>
      <c r="J173" s="71"/>
    </row>
    <row r="174" spans="4:10" ht="15" x14ac:dyDescent="0.2">
      <c r="G174" s="90">
        <v>0.115830566344852</v>
      </c>
      <c r="H174" s="93">
        <v>0.23609817409094999</v>
      </c>
      <c r="I174" s="71"/>
      <c r="J174" s="71"/>
    </row>
    <row r="175" spans="4:10" ht="15" x14ac:dyDescent="0.2">
      <c r="G175" s="90">
        <v>0.116595544995545</v>
      </c>
      <c r="H175" s="93">
        <v>0.151953274904506</v>
      </c>
      <c r="I175" s="71"/>
      <c r="J175" s="71"/>
    </row>
    <row r="176" spans="4:10" ht="15" x14ac:dyDescent="0.2">
      <c r="G176" s="90">
        <v>0.116595544995545</v>
      </c>
      <c r="H176" s="93">
        <v>0.12375913962512899</v>
      </c>
      <c r="I176" s="71"/>
      <c r="J176" s="71"/>
    </row>
    <row r="177" spans="7:10" ht="15" x14ac:dyDescent="0.2">
      <c r="G177" s="90">
        <v>0.11637894429894401</v>
      </c>
      <c r="H177" s="93">
        <v>9.38924897869515E-2</v>
      </c>
      <c r="I177" s="71"/>
      <c r="J177" s="71"/>
    </row>
    <row r="178" spans="7:10" ht="15" x14ac:dyDescent="0.2">
      <c r="G178" s="90">
        <v>0.117389747549747</v>
      </c>
      <c r="H178" s="93">
        <v>0.271035925070015</v>
      </c>
      <c r="I178" s="71"/>
      <c r="J178" s="71"/>
    </row>
    <row r="179" spans="7:10" ht="15" x14ac:dyDescent="0.2">
      <c r="G179" s="90">
        <v>0.1182742003942</v>
      </c>
      <c r="H179" s="93">
        <v>6.3292015629438994E-2</v>
      </c>
      <c r="I179" s="71"/>
      <c r="J179" s="71"/>
    </row>
    <row r="180" spans="7:10" ht="15" x14ac:dyDescent="0.2">
      <c r="G180" s="90">
        <v>0.118039549639549</v>
      </c>
      <c r="H180" s="93">
        <v>0.40591354091728798</v>
      </c>
      <c r="I180" s="71"/>
      <c r="J180" s="71"/>
    </row>
    <row r="181" spans="7:10" ht="15" x14ac:dyDescent="0.2">
      <c r="G181" s="90">
        <v>0.118039549639549</v>
      </c>
      <c r="H181" s="93">
        <v>0.368368083578338</v>
      </c>
      <c r="I181" s="71"/>
      <c r="J181" s="71"/>
    </row>
    <row r="182" spans="7:10" ht="15" x14ac:dyDescent="0.2">
      <c r="G182" s="90">
        <v>0.12069548675262901</v>
      </c>
      <c r="H182" s="93">
        <v>0.18390092585721701</v>
      </c>
      <c r="I182" s="71"/>
      <c r="J182" s="71"/>
    </row>
    <row r="183" spans="7:10" ht="15" x14ac:dyDescent="0.2">
      <c r="G183" s="90">
        <v>0.12005084182226999</v>
      </c>
      <c r="H183" s="93">
        <v>0.54633867852421703</v>
      </c>
      <c r="I183" s="71"/>
      <c r="J183" s="71"/>
    </row>
    <row r="184" spans="7:10" ht="15" x14ac:dyDescent="0.2">
      <c r="G184" s="90">
        <v>0.12092755892755799</v>
      </c>
      <c r="H184" s="93">
        <v>0.50311868671868598</v>
      </c>
      <c r="I184" s="71"/>
      <c r="J184" s="71"/>
    </row>
    <row r="185" spans="7:10" ht="15" x14ac:dyDescent="0.2">
      <c r="G185" s="90">
        <v>0.12159798965513199</v>
      </c>
      <c r="H185" s="93">
        <v>0.33607272239792302</v>
      </c>
      <c r="I185" s="71"/>
      <c r="J185" s="71"/>
    </row>
    <row r="186" spans="7:10" ht="15" x14ac:dyDescent="0.2">
      <c r="G186" s="90">
        <v>0.12128856008856</v>
      </c>
      <c r="H186" s="93">
        <v>0.29936836160144298</v>
      </c>
      <c r="I186" s="71"/>
      <c r="J186" s="71"/>
    </row>
    <row r="187" spans="7:10" ht="15" x14ac:dyDescent="0.2">
      <c r="G187" s="90">
        <v>0.12210081270081199</v>
      </c>
      <c r="H187" s="93">
        <v>0.211421641731382</v>
      </c>
      <c r="I187" s="71"/>
      <c r="J187" s="71"/>
    </row>
    <row r="188" spans="7:10" ht="15" x14ac:dyDescent="0.2">
      <c r="G188" s="90">
        <v>0.122712509112509</v>
      </c>
      <c r="H188" s="93">
        <v>0.14293783612382499</v>
      </c>
      <c r="I188" s="71"/>
      <c r="J188" s="71"/>
    </row>
    <row r="189" spans="7:10" ht="15" x14ac:dyDescent="0.2">
      <c r="G189" s="90">
        <v>0.12243173043173</v>
      </c>
      <c r="H189" s="93">
        <v>0.10889370205745701</v>
      </c>
      <c r="I189" s="71"/>
      <c r="J189" s="71"/>
    </row>
    <row r="190" spans="7:10" ht="15" x14ac:dyDescent="0.2">
      <c r="G190" s="90">
        <v>0.121679644679644</v>
      </c>
      <c r="H190" s="93">
        <v>8.4465426788324804E-2</v>
      </c>
      <c r="I190" s="71"/>
      <c r="J190" s="71"/>
    </row>
    <row r="191" spans="7:10" ht="15" x14ac:dyDescent="0.2">
      <c r="G191" s="90">
        <v>0.123077156749884</v>
      </c>
      <c r="H191" s="93">
        <v>0.27116885355230402</v>
      </c>
      <c r="I191" s="71"/>
      <c r="J191" s="71"/>
    </row>
    <row r="192" spans="7:10" ht="15" x14ac:dyDescent="0.2">
      <c r="G192" s="90">
        <v>0.12301620850192201</v>
      </c>
      <c r="H192" s="93">
        <v>5.9663141491712902E-2</v>
      </c>
      <c r="I192" s="71"/>
      <c r="J192" s="71"/>
    </row>
    <row r="193" spans="7:10" ht="15" x14ac:dyDescent="0.2">
      <c r="G193" s="90">
        <v>0.12522347274347201</v>
      </c>
      <c r="H193" s="93">
        <v>0.19684611234444099</v>
      </c>
      <c r="I193" s="71"/>
      <c r="J193" s="71"/>
    </row>
    <row r="194" spans="7:10" ht="15" x14ac:dyDescent="0.2">
      <c r="G194" s="90">
        <v>0.126703577503577</v>
      </c>
      <c r="H194" s="93">
        <v>0.55507804949149997</v>
      </c>
      <c r="I194" s="71"/>
      <c r="J194" s="71"/>
    </row>
    <row r="195" spans="7:10" ht="15" x14ac:dyDescent="0.2">
      <c r="G195" s="90">
        <v>0.12647150532864801</v>
      </c>
      <c r="H195" s="93">
        <v>0.53682296117561401</v>
      </c>
      <c r="I195" s="71"/>
      <c r="J195" s="71"/>
    </row>
    <row r="196" spans="7:10" ht="15" x14ac:dyDescent="0.2">
      <c r="G196" s="90">
        <v>0.12689977378673001</v>
      </c>
      <c r="H196" s="93">
        <v>0.34371807665418902</v>
      </c>
      <c r="I196" s="71"/>
      <c r="J196" s="71"/>
    </row>
    <row r="197" spans="7:10" ht="15" x14ac:dyDescent="0.2">
      <c r="G197" s="90">
        <v>0.12706457866457799</v>
      </c>
      <c r="H197" s="93">
        <v>0.307965220905554</v>
      </c>
      <c r="I197" s="71"/>
      <c r="J197" s="71"/>
    </row>
    <row r="198" spans="7:10" ht="15" x14ac:dyDescent="0.2">
      <c r="G198" s="90">
        <v>0.12860244361044301</v>
      </c>
      <c r="H198" s="93">
        <v>0.38788620703823001</v>
      </c>
      <c r="I198" s="71"/>
      <c r="J198" s="71"/>
    </row>
    <row r="199" spans="7:10" ht="15" x14ac:dyDescent="0.2">
      <c r="G199" s="90">
        <v>0.12827828946449599</v>
      </c>
      <c r="H199" s="93">
        <v>0.15614709646392999</v>
      </c>
      <c r="I199" s="71"/>
      <c r="J199" s="71"/>
    </row>
    <row r="200" spans="7:10" ht="15" x14ac:dyDescent="0.2">
      <c r="G200" s="90">
        <v>0.128053721845721</v>
      </c>
      <c r="H200" s="93">
        <v>0.11046714972659399</v>
      </c>
      <c r="I200" s="71"/>
      <c r="J200" s="71"/>
    </row>
    <row r="201" spans="7:10" ht="15" x14ac:dyDescent="0.2">
      <c r="G201" s="90">
        <v>0.12865414829285701</v>
      </c>
      <c r="H201" s="93">
        <v>0.26780261502935399</v>
      </c>
      <c r="I201" s="71"/>
      <c r="J201" s="71"/>
    </row>
    <row r="202" spans="7:10" ht="15" x14ac:dyDescent="0.2">
      <c r="G202" s="90">
        <v>0.129441169641169</v>
      </c>
      <c r="H202" s="93">
        <v>0.222917480434497</v>
      </c>
      <c r="I202" s="71"/>
      <c r="J202" s="71"/>
    </row>
    <row r="203" spans="7:10" ht="15" x14ac:dyDescent="0.2">
      <c r="G203" s="90">
        <v>0.13159609323819799</v>
      </c>
      <c r="H203" s="93">
        <v>0.51276184072483899</v>
      </c>
      <c r="I203" s="71"/>
      <c r="J203" s="71"/>
    </row>
    <row r="204" spans="7:10" ht="15" x14ac:dyDescent="0.2">
      <c r="G204" s="90">
        <v>0.13211859491859401</v>
      </c>
      <c r="H204" s="93">
        <v>0.63779102935674303</v>
      </c>
      <c r="I204" s="71"/>
      <c r="J204" s="71"/>
    </row>
    <row r="205" spans="7:10" ht="15" x14ac:dyDescent="0.2">
      <c r="G205" s="90">
        <v>0.13234156622391899</v>
      </c>
      <c r="H205" s="93">
        <v>0.55161009350763701</v>
      </c>
      <c r="I205" s="71"/>
      <c r="J205" s="71"/>
    </row>
    <row r="206" spans="7:10" ht="15" x14ac:dyDescent="0.2">
      <c r="G206" s="90">
        <v>0.13314143154143099</v>
      </c>
      <c r="H206" s="93">
        <v>0.52989912692665897</v>
      </c>
      <c r="I206" s="71"/>
      <c r="J206" s="71"/>
    </row>
    <row r="207" spans="7:10" ht="15" x14ac:dyDescent="0.2">
      <c r="G207" s="90">
        <v>0.13320828360828299</v>
      </c>
      <c r="H207" s="93">
        <v>0.35174530075515598</v>
      </c>
      <c r="I207" s="71"/>
      <c r="J207" s="71"/>
    </row>
    <row r="208" spans="7:10" ht="15" x14ac:dyDescent="0.2">
      <c r="G208" s="90">
        <v>0.133097098065519</v>
      </c>
      <c r="H208" s="93">
        <v>0.30377706414821198</v>
      </c>
      <c r="I208" s="71"/>
      <c r="J208" s="71"/>
    </row>
    <row r="209" spans="7:10" ht="15" x14ac:dyDescent="0.2">
      <c r="G209" s="90">
        <v>0.13361568796862899</v>
      </c>
      <c r="H209" s="93">
        <v>0.20557118950015901</v>
      </c>
      <c r="I209" s="71"/>
      <c r="J209" s="71"/>
    </row>
    <row r="210" spans="7:10" ht="15" x14ac:dyDescent="0.2">
      <c r="G210" s="90">
        <v>0.13365645986445901</v>
      </c>
      <c r="H210" s="93">
        <v>0.43125675108035899</v>
      </c>
      <c r="I210" s="71"/>
      <c r="J210" s="71"/>
    </row>
    <row r="211" spans="7:10" ht="15" x14ac:dyDescent="0.2">
      <c r="G211" s="90">
        <v>0.13420437940437899</v>
      </c>
      <c r="H211" s="93">
        <v>0.39376386939848101</v>
      </c>
      <c r="I211" s="71"/>
      <c r="J211" s="71"/>
    </row>
    <row r="212" spans="7:10" ht="15" x14ac:dyDescent="0.2">
      <c r="G212" s="90">
        <v>0.13432070200070201</v>
      </c>
      <c r="H212" s="93">
        <v>0.36442644143809799</v>
      </c>
      <c r="I212" s="71"/>
      <c r="J212" s="71"/>
    </row>
    <row r="213" spans="7:10" ht="15" x14ac:dyDescent="0.2">
      <c r="G213" s="90">
        <v>0.13408003456003401</v>
      </c>
      <c r="H213" s="93">
        <v>0.156895175988189</v>
      </c>
      <c r="I213" s="71"/>
      <c r="J213" s="71"/>
    </row>
    <row r="214" spans="7:10" ht="15" x14ac:dyDescent="0.2">
      <c r="G214" s="90">
        <v>0.133767166887166</v>
      </c>
      <c r="H214" s="93">
        <v>0.26280204877027702</v>
      </c>
      <c r="I214" s="71"/>
      <c r="J214" s="71"/>
    </row>
    <row r="215" spans="7:10" ht="15" x14ac:dyDescent="0.2">
      <c r="G215" s="90">
        <v>0.13482610362610301</v>
      </c>
      <c r="H215" s="93">
        <v>0.13850330618953999</v>
      </c>
      <c r="I215" s="71"/>
      <c r="J215" s="71"/>
    </row>
    <row r="216" spans="7:10" ht="15" x14ac:dyDescent="0.2">
      <c r="G216" s="90">
        <v>0.13525274136183199</v>
      </c>
      <c r="H216" s="93">
        <v>0.23883108100735301</v>
      </c>
      <c r="I216" s="71"/>
      <c r="J216" s="71"/>
    </row>
    <row r="217" spans="7:10" ht="15" x14ac:dyDescent="0.2">
      <c r="G217" s="90">
        <v>0.136527966242251</v>
      </c>
      <c r="H217" s="93">
        <v>0.45583514949079101</v>
      </c>
      <c r="I217" s="71"/>
      <c r="J217" s="71"/>
    </row>
    <row r="218" spans="7:10" ht="15" x14ac:dyDescent="0.2">
      <c r="G218" s="90">
        <v>0.13602944082943999</v>
      </c>
      <c r="H218" s="93">
        <v>0.51642107308787</v>
      </c>
      <c r="I218" s="71"/>
      <c r="J218" s="71"/>
    </row>
    <row r="219" spans="7:10" ht="15" x14ac:dyDescent="0.2">
      <c r="G219" s="90">
        <v>0.135909107109107</v>
      </c>
      <c r="H219" s="93">
        <v>0.63703831328517002</v>
      </c>
      <c r="I219" s="71"/>
      <c r="J219" s="71"/>
    </row>
    <row r="220" spans="7:10" ht="15" x14ac:dyDescent="0.2">
      <c r="G220" s="90">
        <v>0.13825561465561401</v>
      </c>
      <c r="H220" s="93">
        <v>0.61204810103024299</v>
      </c>
      <c r="I220" s="71"/>
      <c r="J220" s="71"/>
    </row>
    <row r="221" spans="7:10" ht="15" x14ac:dyDescent="0.2">
      <c r="G221" s="90">
        <v>0.138412048492048</v>
      </c>
      <c r="H221" s="93">
        <v>0.545565617439152</v>
      </c>
      <c r="I221" s="71"/>
      <c r="J221" s="71"/>
    </row>
    <row r="222" spans="7:10" ht="15" x14ac:dyDescent="0.2">
      <c r="G222" s="90">
        <v>0.13893514625279299</v>
      </c>
      <c r="H222" s="93">
        <v>0.33171214005889599</v>
      </c>
      <c r="I222" s="71"/>
      <c r="J222" s="71"/>
    </row>
    <row r="223" spans="7:10" ht="15" x14ac:dyDescent="0.2">
      <c r="G223" s="90">
        <v>0.13884043653643599</v>
      </c>
      <c r="H223" s="93">
        <v>0.21068178691344999</v>
      </c>
      <c r="I223" s="71"/>
      <c r="J223" s="71"/>
    </row>
    <row r="224" spans="7:10" ht="15" x14ac:dyDescent="0.2">
      <c r="G224" s="90">
        <v>0.138954073423638</v>
      </c>
      <c r="H224" s="93">
        <v>0.42443929256854002</v>
      </c>
      <c r="I224" s="71"/>
      <c r="J224" s="71"/>
    </row>
    <row r="225" spans="7:10" ht="15" x14ac:dyDescent="0.2">
      <c r="G225" s="90">
        <v>0.139823119696803</v>
      </c>
      <c r="H225" s="93">
        <v>0.37442515583924901</v>
      </c>
      <c r="I225" s="71"/>
      <c r="J225" s="71"/>
    </row>
    <row r="226" spans="7:10" ht="15" x14ac:dyDescent="0.2">
      <c r="G226" s="90">
        <v>0.140444184194184</v>
      </c>
      <c r="H226" s="93">
        <v>0.186067917704067</v>
      </c>
      <c r="I226" s="71"/>
      <c r="J226" s="71"/>
    </row>
    <row r="227" spans="7:10" ht="15" x14ac:dyDescent="0.2">
      <c r="G227" s="90">
        <v>0.14006062046062001</v>
      </c>
      <c r="H227" s="93">
        <v>0.27501709653351197</v>
      </c>
      <c r="I227" s="71"/>
      <c r="J227" s="71"/>
    </row>
    <row r="228" spans="7:10" ht="15" x14ac:dyDescent="0.2">
      <c r="G228" s="90">
        <v>0.139293492993493</v>
      </c>
      <c r="H228" s="93">
        <v>0.154051223365713</v>
      </c>
      <c r="I228" s="71"/>
      <c r="J228" s="71"/>
    </row>
    <row r="229" spans="7:10" ht="15" x14ac:dyDescent="0.2">
      <c r="G229" s="90">
        <v>0.14086466850103199</v>
      </c>
      <c r="H229" s="93">
        <v>0.23598503812968</v>
      </c>
      <c r="I229" s="71"/>
      <c r="J229" s="71"/>
    </row>
    <row r="230" spans="7:10" ht="15" x14ac:dyDescent="0.2">
      <c r="G230" s="90">
        <v>0.140963123363123</v>
      </c>
      <c r="H230" s="93">
        <v>0.45921490429702699</v>
      </c>
      <c r="I230" s="71"/>
      <c r="J230" s="71"/>
    </row>
    <row r="231" spans="7:10" ht="15" x14ac:dyDescent="0.2">
      <c r="G231" s="90">
        <v>0.142507406107406</v>
      </c>
      <c r="H231" s="93">
        <v>0.40340767023967</v>
      </c>
      <c r="I231" s="71"/>
      <c r="J231" s="71"/>
    </row>
    <row r="232" spans="7:10" ht="15" x14ac:dyDescent="0.2">
      <c r="G232" s="90">
        <v>0.14322330454504301</v>
      </c>
      <c r="H232" s="93">
        <v>0.52465225980057995</v>
      </c>
      <c r="I232" s="71"/>
      <c r="J232" s="71"/>
    </row>
    <row r="233" spans="7:10" ht="15" x14ac:dyDescent="0.2">
      <c r="G233" s="90">
        <v>0.142046126846126</v>
      </c>
      <c r="H233" s="93">
        <v>0.61206367994939403</v>
      </c>
      <c r="I233" s="71"/>
      <c r="J233" s="71"/>
    </row>
    <row r="234" spans="7:10" ht="15" x14ac:dyDescent="0.2">
      <c r="G234" s="90">
        <v>0.144919696087696</v>
      </c>
      <c r="H234" s="93">
        <v>0.34863346284286001</v>
      </c>
      <c r="I234" s="71"/>
      <c r="J234" s="71"/>
    </row>
    <row r="235" spans="7:10" ht="15" x14ac:dyDescent="0.2">
      <c r="G235" s="90">
        <v>0.14248735048735001</v>
      </c>
      <c r="H235" s="93">
        <v>0.31907185180047498</v>
      </c>
      <c r="I235" s="71"/>
      <c r="J235" s="71"/>
    </row>
    <row r="236" spans="7:10" ht="15" x14ac:dyDescent="0.2">
      <c r="G236" s="90">
        <v>0.14457313497313501</v>
      </c>
      <c r="H236" s="93">
        <v>0.54339720911961698</v>
      </c>
      <c r="I236" s="71"/>
      <c r="J236" s="71"/>
    </row>
    <row r="237" spans="7:10" ht="15" x14ac:dyDescent="0.2">
      <c r="G237" s="90">
        <v>0.14553580473580399</v>
      </c>
      <c r="H237" s="93">
        <v>0.42889244864409798</v>
      </c>
      <c r="I237" s="71"/>
      <c r="J237" s="71"/>
    </row>
    <row r="238" spans="7:10" ht="15" x14ac:dyDescent="0.2">
      <c r="G238" s="90">
        <v>0.146330007290007</v>
      </c>
      <c r="H238" s="93">
        <v>0.37755433843068098</v>
      </c>
      <c r="I238" s="71"/>
      <c r="J238" s="71"/>
    </row>
    <row r="239" spans="7:10" ht="15" x14ac:dyDescent="0.2">
      <c r="G239" s="90">
        <v>0.14586070578070501</v>
      </c>
      <c r="H239" s="93">
        <v>0.195608199589489</v>
      </c>
      <c r="I239" s="71"/>
      <c r="J239" s="71"/>
    </row>
    <row r="240" spans="7:10" ht="15" x14ac:dyDescent="0.2">
      <c r="G240" s="90">
        <v>0.145803213003213</v>
      </c>
      <c r="H240" s="93">
        <v>0.27776748056810302</v>
      </c>
      <c r="I240" s="71"/>
      <c r="J240" s="71"/>
    </row>
    <row r="241" spans="7:10" ht="15" x14ac:dyDescent="0.2">
      <c r="G241" s="90">
        <v>0.14683942003941999</v>
      </c>
      <c r="H241" s="93">
        <v>0.23866232825971501</v>
      </c>
      <c r="I241" s="71"/>
      <c r="J241" s="71"/>
    </row>
    <row r="242" spans="7:10" ht="15" x14ac:dyDescent="0.2">
      <c r="G242" s="90">
        <v>0.14760554472554399</v>
      </c>
      <c r="H242" s="93">
        <v>0.49309228193868498</v>
      </c>
      <c r="I242" s="71"/>
      <c r="J242" s="71"/>
    </row>
    <row r="243" spans="7:10" ht="15" x14ac:dyDescent="0.2">
      <c r="G243" s="90">
        <v>0.14748370683370601</v>
      </c>
      <c r="H243" s="93">
        <v>0.175191270239413</v>
      </c>
      <c r="I243" s="71"/>
      <c r="J243" s="71"/>
    </row>
    <row r="244" spans="7:10" ht="15" x14ac:dyDescent="0.2">
      <c r="G244" s="90">
        <v>0.14915784971784901</v>
      </c>
      <c r="H244" s="93">
        <v>0.40251093262303</v>
      </c>
      <c r="I244" s="71"/>
      <c r="J244" s="71"/>
    </row>
    <row r="245" spans="7:10" ht="15" x14ac:dyDescent="0.2">
      <c r="G245" s="90">
        <v>0.150663067602198</v>
      </c>
      <c r="H245" s="93">
        <v>0.330288885330976</v>
      </c>
      <c r="I245" s="71"/>
      <c r="J245" s="71"/>
    </row>
    <row r="246" spans="7:10" ht="15" x14ac:dyDescent="0.2">
      <c r="G246" s="90">
        <v>0.15004831924831899</v>
      </c>
      <c r="H246" s="93">
        <v>0.29448734513222802</v>
      </c>
      <c r="I246" s="71"/>
      <c r="J246" s="71"/>
    </row>
    <row r="247" spans="7:10" ht="15" x14ac:dyDescent="0.2">
      <c r="G247" s="90">
        <v>0.15138506992420001</v>
      </c>
      <c r="H247" s="93">
        <v>0.43516641086071101</v>
      </c>
      <c r="I247" s="71"/>
      <c r="J247" s="71"/>
    </row>
    <row r="248" spans="7:10" ht="15" x14ac:dyDescent="0.2">
      <c r="G248" s="90">
        <v>0.151251656451656</v>
      </c>
      <c r="H248" s="93">
        <v>0.60618795629081301</v>
      </c>
      <c r="I248" s="71"/>
      <c r="J248" s="71"/>
    </row>
    <row r="249" spans="7:10" ht="15" x14ac:dyDescent="0.2">
      <c r="G249" s="90">
        <v>0.15162215764320999</v>
      </c>
      <c r="H249" s="93">
        <v>0.361185908032223</v>
      </c>
      <c r="I249" s="71"/>
      <c r="J249" s="71"/>
    </row>
    <row r="250" spans="7:10" ht="15" x14ac:dyDescent="0.2">
      <c r="G250" s="90">
        <v>0.151619877635877</v>
      </c>
      <c r="H250" s="93">
        <v>0.199407811668458</v>
      </c>
      <c r="I250" s="71"/>
      <c r="J250" s="71"/>
    </row>
    <row r="251" spans="7:10" ht="15" x14ac:dyDescent="0.2">
      <c r="G251" s="90">
        <v>0.152334659934659</v>
      </c>
      <c r="H251" s="93">
        <v>0.271704035292892</v>
      </c>
      <c r="I251" s="71"/>
      <c r="J251" s="71"/>
    </row>
    <row r="252" spans="7:10" ht="15" x14ac:dyDescent="0.2">
      <c r="G252" s="90">
        <v>0.15161265761265699</v>
      </c>
      <c r="H252" s="93">
        <v>0.24421000018551001</v>
      </c>
      <c r="I252" s="71"/>
      <c r="J252" s="71"/>
    </row>
    <row r="253" spans="7:10" ht="15" x14ac:dyDescent="0.2">
      <c r="G253" s="90">
        <v>0.15262346086345999</v>
      </c>
      <c r="H253" s="93">
        <v>0.49167206775366701</v>
      </c>
      <c r="I253" s="71"/>
      <c r="J253" s="71"/>
    </row>
    <row r="254" spans="7:10" ht="15" x14ac:dyDescent="0.2">
      <c r="G254" s="90">
        <v>0.15089065529065501</v>
      </c>
      <c r="H254" s="93">
        <v>0.164852433358147</v>
      </c>
      <c r="I254" s="71"/>
      <c r="J254" s="71"/>
    </row>
    <row r="255" spans="7:10" ht="15" x14ac:dyDescent="0.2">
      <c r="G255" s="90">
        <v>0.15453348518803001</v>
      </c>
      <c r="H255" s="93">
        <v>0.395707140988179</v>
      </c>
      <c r="I255" s="71"/>
      <c r="J255" s="71"/>
    </row>
    <row r="256" spans="7:10" ht="15" x14ac:dyDescent="0.2">
      <c r="G256" s="90">
        <v>0.15611313875313801</v>
      </c>
      <c r="H256" s="93">
        <v>0.31206299692027001</v>
      </c>
      <c r="I256" s="71"/>
      <c r="J256" s="71"/>
    </row>
    <row r="257" spans="7:10" ht="15" x14ac:dyDescent="0.2">
      <c r="G257" s="90">
        <v>0.156353172858436</v>
      </c>
      <c r="H257" s="93">
        <v>0.454464215865229</v>
      </c>
      <c r="I257" s="71"/>
      <c r="J257" s="71"/>
    </row>
    <row r="258" spans="7:10" ht="15" x14ac:dyDescent="0.2">
      <c r="G258" s="90">
        <v>0.15720817560817499</v>
      </c>
      <c r="H258" s="93">
        <v>0.43028469692469601</v>
      </c>
      <c r="I258" s="71"/>
      <c r="J258" s="71"/>
    </row>
    <row r="259" spans="7:10" ht="15" x14ac:dyDescent="0.2">
      <c r="G259" s="90">
        <v>0.15504216864216799</v>
      </c>
      <c r="H259" s="93">
        <v>0.60615185617471301</v>
      </c>
      <c r="I259" s="71"/>
      <c r="J259" s="71"/>
    </row>
    <row r="260" spans="7:10" ht="15" x14ac:dyDescent="0.2">
      <c r="G260" s="90">
        <v>0.15731513891513799</v>
      </c>
      <c r="H260" s="93">
        <v>0.36163691525790198</v>
      </c>
      <c r="I260" s="71"/>
      <c r="J260" s="71"/>
    </row>
    <row r="261" spans="7:10" ht="15" x14ac:dyDescent="0.2">
      <c r="G261" s="90">
        <v>0.156215422415422</v>
      </c>
      <c r="H261" s="93">
        <v>0.212044189666072</v>
      </c>
      <c r="I261" s="71"/>
      <c r="J261" s="71"/>
    </row>
    <row r="262" spans="7:10" ht="15" x14ac:dyDescent="0.2">
      <c r="G262" s="90">
        <v>0.157388676188676</v>
      </c>
      <c r="H262" s="93">
        <v>0.141483302546873</v>
      </c>
      <c r="I262" s="71"/>
      <c r="J262" s="71"/>
    </row>
    <row r="263" spans="7:10" ht="15" x14ac:dyDescent="0.2">
      <c r="G263" s="90">
        <v>0.15847167967167899</v>
      </c>
      <c r="H263" s="93">
        <v>0.63955552997195797</v>
      </c>
      <c r="I263" s="71"/>
      <c r="J263" s="71"/>
    </row>
    <row r="264" spans="7:10" ht="15" x14ac:dyDescent="0.2">
      <c r="G264" s="90">
        <v>0.15851465600037001</v>
      </c>
      <c r="H264" s="93">
        <v>0.24904191484372701</v>
      </c>
      <c r="I264" s="71"/>
      <c r="J264" s="71"/>
    </row>
    <row r="265" spans="7:10" ht="15" x14ac:dyDescent="0.2">
      <c r="G265" s="90">
        <v>0.15883268083268001</v>
      </c>
      <c r="H265" s="93">
        <v>0.49566573179716</v>
      </c>
      <c r="I265" s="71"/>
      <c r="J265" s="71"/>
    </row>
    <row r="266" spans="7:10" ht="15" x14ac:dyDescent="0.2">
      <c r="G266" s="90">
        <v>0.15946443286443199</v>
      </c>
      <c r="H266" s="93">
        <v>0.28899093709324303</v>
      </c>
      <c r="I266" s="71"/>
      <c r="J266" s="71"/>
    </row>
    <row r="267" spans="7:10" ht="15" x14ac:dyDescent="0.2">
      <c r="G267" s="90">
        <v>0.15991568431568401</v>
      </c>
      <c r="H267" s="93">
        <v>0.40517735268592397</v>
      </c>
      <c r="I267" s="71"/>
      <c r="J267" s="71"/>
    </row>
    <row r="268" spans="7:10" ht="15" x14ac:dyDescent="0.2">
      <c r="G268" s="90">
        <v>0.162045591165591</v>
      </c>
      <c r="H268" s="93">
        <v>0.31916430818743302</v>
      </c>
      <c r="I268" s="71"/>
      <c r="J268" s="71"/>
    </row>
    <row r="269" spans="7:10" ht="15" x14ac:dyDescent="0.2">
      <c r="G269" s="90">
        <v>0.16244269244269199</v>
      </c>
      <c r="H269" s="93">
        <v>0.45300667176011999</v>
      </c>
      <c r="I269" s="71"/>
      <c r="J269" s="71"/>
    </row>
    <row r="270" spans="7:10" ht="15" x14ac:dyDescent="0.2">
      <c r="G270" s="90">
        <v>0.16244269244269199</v>
      </c>
      <c r="H270" s="93">
        <v>0.425948778286247</v>
      </c>
      <c r="I270" s="71"/>
      <c r="J270" s="71"/>
    </row>
    <row r="271" spans="7:10" ht="15" x14ac:dyDescent="0.2">
      <c r="G271" s="90">
        <v>0.16327643321929</v>
      </c>
      <c r="H271" s="93">
        <v>0.37471935456490502</v>
      </c>
      <c r="I271" s="71"/>
      <c r="J271" s="71"/>
    </row>
    <row r="272" spans="7:10" ht="15" x14ac:dyDescent="0.2">
      <c r="G272" s="90">
        <v>0.16259740722597801</v>
      </c>
      <c r="H272" s="93">
        <v>0.347980034042074</v>
      </c>
      <c r="I272" s="71"/>
      <c r="J272" s="71"/>
    </row>
    <row r="273" spans="7:10" ht="15" x14ac:dyDescent="0.2">
      <c r="G273" s="90">
        <v>0.162812288869431</v>
      </c>
      <c r="H273" s="93">
        <v>0.225979059661264</v>
      </c>
      <c r="I273" s="71"/>
      <c r="J273" s="71"/>
    </row>
    <row r="274" spans="7:10" ht="15" x14ac:dyDescent="0.2">
      <c r="G274" s="90">
        <v>0.16099868779868701</v>
      </c>
      <c r="H274" s="93">
        <v>0.14160395858967201</v>
      </c>
      <c r="I274" s="71"/>
      <c r="J274" s="71"/>
    </row>
    <row r="275" spans="7:10" ht="15" x14ac:dyDescent="0.2">
      <c r="G275" s="90">
        <v>0.16352569592569499</v>
      </c>
      <c r="H275" s="93">
        <v>0.64431354676211805</v>
      </c>
      <c r="I275" s="71"/>
      <c r="J275" s="71"/>
    </row>
    <row r="276" spans="7:10" ht="15" x14ac:dyDescent="0.2">
      <c r="G276" s="90">
        <v>0.16280369360369301</v>
      </c>
      <c r="H276" s="93">
        <v>0.50354673095244495</v>
      </c>
      <c r="I276" s="71"/>
      <c r="J276" s="71"/>
    </row>
    <row r="277" spans="7:10" ht="15" x14ac:dyDescent="0.2">
      <c r="G277" s="90">
        <v>0.162081691281691</v>
      </c>
      <c r="H277" s="93">
        <v>0.248603699929414</v>
      </c>
      <c r="I277" s="71"/>
      <c r="J277" s="71"/>
    </row>
    <row r="278" spans="7:10" ht="15" x14ac:dyDescent="0.2">
      <c r="G278" s="90">
        <v>0.165698922914922</v>
      </c>
      <c r="H278" s="93">
        <v>0.28894714912464697</v>
      </c>
      <c r="I278" s="71"/>
      <c r="J278" s="71"/>
    </row>
    <row r="279" spans="7:10" ht="15" x14ac:dyDescent="0.2">
      <c r="G279" s="90">
        <v>0.16641370521370499</v>
      </c>
      <c r="H279" s="93">
        <v>0.406322951532747</v>
      </c>
      <c r="I279" s="71"/>
      <c r="J279" s="71"/>
    </row>
    <row r="280" spans="7:10" ht="15" x14ac:dyDescent="0.2">
      <c r="G280" s="90">
        <v>0.16826036499882599</v>
      </c>
      <c r="H280" s="93">
        <v>0.43017472955852398</v>
      </c>
      <c r="I280" s="71"/>
      <c r="J280" s="71"/>
    </row>
    <row r="281" spans="7:10" ht="15" x14ac:dyDescent="0.2">
      <c r="G281" s="90">
        <v>0.168807299868169</v>
      </c>
      <c r="H281" s="93">
        <v>0.31094973248673302</v>
      </c>
      <c r="I281" s="71"/>
      <c r="J281" s="71"/>
    </row>
    <row r="282" spans="7:10" ht="15" x14ac:dyDescent="0.2">
      <c r="G282" s="90">
        <v>0.16863025234225201</v>
      </c>
      <c r="H282" s="93">
        <v>0.36106926052480298</v>
      </c>
      <c r="I282" s="71"/>
      <c r="J282" s="71"/>
    </row>
    <row r="283" spans="7:10" ht="15" x14ac:dyDescent="0.2">
      <c r="G283" s="90">
        <v>0.16779754299754299</v>
      </c>
      <c r="H283" s="93">
        <v>0.331021347352775</v>
      </c>
      <c r="I283" s="71"/>
      <c r="J283" s="71"/>
    </row>
    <row r="284" spans="7:10" ht="15" x14ac:dyDescent="0.2">
      <c r="G284" s="90">
        <v>0.16862268850840201</v>
      </c>
      <c r="H284" s="93">
        <v>0.22434135787774301</v>
      </c>
      <c r="I284" s="71"/>
      <c r="J284" s="71"/>
    </row>
    <row r="285" spans="7:10" ht="15" x14ac:dyDescent="0.2">
      <c r="G285" s="90">
        <v>0.169301714501714</v>
      </c>
      <c r="H285" s="93">
        <v>0.60188172815601304</v>
      </c>
      <c r="I285" s="71"/>
      <c r="J285" s="71"/>
    </row>
    <row r="286" spans="7:10" ht="15" x14ac:dyDescent="0.2">
      <c r="G286" s="90">
        <v>0.171426067487605</v>
      </c>
      <c r="H286" s="93">
        <v>0.25178339538487698</v>
      </c>
      <c r="I286" s="71"/>
      <c r="J286" s="71"/>
    </row>
    <row r="287" spans="7:10" ht="15" x14ac:dyDescent="0.2">
      <c r="G287" s="90">
        <v>0.171949056349056</v>
      </c>
      <c r="H287" s="93">
        <v>0.39208062212690697</v>
      </c>
      <c r="I287" s="71"/>
      <c r="J287" s="71"/>
    </row>
    <row r="288" spans="7:10" ht="15" x14ac:dyDescent="0.2">
      <c r="G288" s="90">
        <v>0.172731225531225</v>
      </c>
      <c r="H288" s="93">
        <v>0.28608210960199398</v>
      </c>
      <c r="I288" s="71"/>
      <c r="J288" s="71"/>
    </row>
    <row r="289" spans="7:10" ht="15" x14ac:dyDescent="0.2">
      <c r="G289" s="90">
        <v>0.173417127737127</v>
      </c>
      <c r="H289" s="93">
        <v>0.42286861760324601</v>
      </c>
      <c r="I289" s="71"/>
      <c r="J289" s="71"/>
    </row>
    <row r="290" spans="7:10" ht="15" x14ac:dyDescent="0.2">
      <c r="G290" s="90">
        <v>0.17448069269607699</v>
      </c>
      <c r="H290" s="93">
        <v>0.34592257171538698</v>
      </c>
      <c r="I290" s="71"/>
      <c r="J290" s="71"/>
    </row>
    <row r="291" spans="7:10" ht="15" x14ac:dyDescent="0.2">
      <c r="G291" s="90">
        <v>0.174995687359323</v>
      </c>
      <c r="H291" s="93">
        <v>0.31756347700877502</v>
      </c>
      <c r="I291" s="71"/>
      <c r="J291" s="71"/>
    </row>
    <row r="292" spans="7:10" ht="15" x14ac:dyDescent="0.2">
      <c r="G292" s="90">
        <v>0.17291172611172601</v>
      </c>
      <c r="H292" s="93">
        <v>0.60184734709306098</v>
      </c>
      <c r="I292" s="71"/>
      <c r="J292" s="71"/>
    </row>
    <row r="293" spans="7:10" ht="15" x14ac:dyDescent="0.2">
      <c r="G293" s="90">
        <v>0.17743993632689201</v>
      </c>
      <c r="H293" s="93">
        <v>0.238616544262854</v>
      </c>
      <c r="I293" s="71"/>
      <c r="J293" s="71"/>
    </row>
    <row r="294" spans="7:10" ht="15" x14ac:dyDescent="0.2">
      <c r="G294" s="90">
        <v>0.17753976099576099</v>
      </c>
      <c r="H294" s="93">
        <v>0.378417539958111</v>
      </c>
      <c r="I294" s="71"/>
      <c r="J294" s="71"/>
    </row>
    <row r="295" spans="7:10" ht="15" x14ac:dyDescent="0.2">
      <c r="G295" s="90">
        <v>0.178420603828603</v>
      </c>
      <c r="H295" s="93">
        <v>0.290962002163484</v>
      </c>
      <c r="I295" s="71"/>
      <c r="J295" s="71"/>
    </row>
    <row r="296" spans="7:10" ht="15" x14ac:dyDescent="0.2">
      <c r="G296" s="90">
        <v>0.176124636444636</v>
      </c>
      <c r="H296" s="93">
        <v>0.269086023357337</v>
      </c>
      <c r="I296" s="71"/>
      <c r="J296" s="71"/>
    </row>
    <row r="297" spans="7:10" ht="15" x14ac:dyDescent="0.2">
      <c r="G297" s="90">
        <v>0.179927182007182</v>
      </c>
      <c r="H297" s="93">
        <v>0.40619225457617097</v>
      </c>
      <c r="I297" s="71"/>
      <c r="J297" s="71"/>
    </row>
    <row r="298" spans="7:10" ht="15" x14ac:dyDescent="0.2">
      <c r="G298" s="90">
        <v>0.180095649215649</v>
      </c>
      <c r="H298" s="93">
        <v>0.33970420521563299</v>
      </c>
      <c r="I298" s="71"/>
      <c r="J298" s="71"/>
    </row>
    <row r="299" spans="7:10" ht="15" x14ac:dyDescent="0.2">
      <c r="G299" s="90">
        <v>0.18175625455625399</v>
      </c>
      <c r="H299" s="93">
        <v>0.226366601429458</v>
      </c>
      <c r="I299" s="71"/>
      <c r="J299" s="71"/>
    </row>
    <row r="300" spans="7:10" ht="15" x14ac:dyDescent="0.2">
      <c r="G300" s="90">
        <v>0.183521149121149</v>
      </c>
      <c r="H300" s="93">
        <v>0.383423771991935</v>
      </c>
      <c r="I300" s="71"/>
      <c r="J300" s="71"/>
    </row>
    <row r="301" spans="7:10" ht="15" x14ac:dyDescent="0.2">
      <c r="G301" s="90">
        <v>0.18396473224708501</v>
      </c>
      <c r="H301" s="93">
        <v>0.29775058981115499</v>
      </c>
      <c r="I301" s="71"/>
      <c r="J301" s="71"/>
    </row>
    <row r="302" spans="7:10" ht="15" x14ac:dyDescent="0.2">
      <c r="G302" s="90">
        <v>0.18360137160137099</v>
      </c>
      <c r="H302" s="93">
        <v>0.271462365753386</v>
      </c>
      <c r="I302" s="71"/>
      <c r="J302" s="71"/>
    </row>
    <row r="303" spans="7:10" ht="15" x14ac:dyDescent="0.2">
      <c r="G303" s="90">
        <v>0.18472448632448599</v>
      </c>
      <c r="H303" s="93">
        <v>0.33281638116116702</v>
      </c>
      <c r="I303" s="71"/>
      <c r="J303" s="71"/>
    </row>
    <row r="304" spans="7:10" ht="15" x14ac:dyDescent="0.2">
      <c r="G304" s="90">
        <v>0.186746564723035</v>
      </c>
      <c r="H304" s="93">
        <v>0.35630296103606102</v>
      </c>
      <c r="I304" s="71"/>
      <c r="J304" s="71"/>
    </row>
    <row r="305" spans="7:10" ht="15" x14ac:dyDescent="0.2">
      <c r="G305" s="90">
        <v>0.18626876906876899</v>
      </c>
      <c r="H305" s="93">
        <v>0.424992572213024</v>
      </c>
      <c r="I305" s="71"/>
      <c r="J305" s="71"/>
    </row>
    <row r="306" spans="7:10" ht="15" x14ac:dyDescent="0.2">
      <c r="G306" s="90">
        <v>0.18843477603477601</v>
      </c>
      <c r="H306" s="93">
        <v>0.51818618755761603</v>
      </c>
      <c r="I306" s="71"/>
      <c r="J306" s="71"/>
    </row>
    <row r="307" spans="7:10" ht="15" x14ac:dyDescent="0.2">
      <c r="G307" s="90">
        <v>0.18927711207711201</v>
      </c>
      <c r="H307" s="93">
        <v>0.39155871225800698</v>
      </c>
      <c r="I307" s="71"/>
      <c r="J307" s="71"/>
    </row>
    <row r="308" spans="7:10" ht="15" x14ac:dyDescent="0.2">
      <c r="G308" s="90">
        <v>0.18951777951777901</v>
      </c>
      <c r="H308" s="93">
        <v>0.47393345116080798</v>
      </c>
      <c r="I308" s="71"/>
      <c r="J308" s="71"/>
    </row>
    <row r="309" spans="7:10" ht="15" x14ac:dyDescent="0.2">
      <c r="G309" s="90">
        <v>0.189337278937278</v>
      </c>
      <c r="H309" s="93">
        <v>0.28359611548297198</v>
      </c>
      <c r="I309" s="71"/>
      <c r="J309" s="71"/>
    </row>
    <row r="310" spans="7:10" ht="15" x14ac:dyDescent="0.2">
      <c r="G310" s="90">
        <v>0.18951777951777901</v>
      </c>
      <c r="H310" s="93">
        <v>0.21848444972717601</v>
      </c>
      <c r="I310" s="71"/>
      <c r="J310" s="71"/>
    </row>
    <row r="311" spans="7:10" ht="15" x14ac:dyDescent="0.2">
      <c r="G311" s="90">
        <v>0.19065493317493301</v>
      </c>
      <c r="H311" s="93">
        <v>0.31774928251783302</v>
      </c>
      <c r="I311" s="71"/>
      <c r="J311" s="71"/>
    </row>
    <row r="312" spans="7:10" ht="15" x14ac:dyDescent="0.2">
      <c r="G312" s="90">
        <v>0.19205428767534</v>
      </c>
      <c r="H312" s="93">
        <v>0.345181295039102</v>
      </c>
      <c r="I312" s="71"/>
      <c r="J312" s="71"/>
    </row>
    <row r="313" spans="7:10" ht="15" x14ac:dyDescent="0.2">
      <c r="G313" s="90">
        <v>0.190884426770141</v>
      </c>
      <c r="H313" s="93">
        <v>0.422891184989937</v>
      </c>
      <c r="I313" s="71"/>
      <c r="J313" s="71"/>
    </row>
    <row r="314" spans="7:10" ht="15" x14ac:dyDescent="0.2">
      <c r="G314" s="90">
        <v>0.192044787644787</v>
      </c>
      <c r="H314" s="93">
        <v>0.51815180649466297</v>
      </c>
      <c r="I314" s="71"/>
      <c r="J314" s="71"/>
    </row>
    <row r="315" spans="7:10" ht="15" x14ac:dyDescent="0.2">
      <c r="G315" s="90">
        <v>0.194814537931779</v>
      </c>
      <c r="H315" s="93">
        <v>0.38640848258293897</v>
      </c>
      <c r="I315" s="71"/>
      <c r="J315" s="71"/>
    </row>
    <row r="316" spans="7:10" ht="15" x14ac:dyDescent="0.2">
      <c r="G316" s="90">
        <v>0.19312779112779099</v>
      </c>
      <c r="H316" s="93">
        <v>0.47431767028338401</v>
      </c>
      <c r="I316" s="71"/>
      <c r="J316" s="71"/>
    </row>
    <row r="317" spans="7:10" ht="15" x14ac:dyDescent="0.2">
      <c r="G317" s="90">
        <v>0.19511329751329701</v>
      </c>
      <c r="H317" s="93">
        <v>0.225743272758129</v>
      </c>
      <c r="I317" s="71"/>
      <c r="J317" s="71"/>
    </row>
    <row r="318" spans="7:10" ht="15" x14ac:dyDescent="0.2">
      <c r="G318" s="90">
        <v>0.19616742090341999</v>
      </c>
      <c r="H318" s="93">
        <v>0.30685203654472698</v>
      </c>
      <c r="I318" s="71"/>
      <c r="J318" s="71"/>
    </row>
    <row r="319" spans="7:10" ht="15" x14ac:dyDescent="0.2">
      <c r="G319" s="90">
        <v>0.19637680157680101</v>
      </c>
      <c r="H319" s="93">
        <v>0.25962062806884201</v>
      </c>
      <c r="I319" s="71"/>
      <c r="J319" s="71"/>
    </row>
    <row r="320" spans="7:10" ht="15" x14ac:dyDescent="0.2">
      <c r="G320" s="90">
        <v>0.19761907027789299</v>
      </c>
      <c r="H320" s="93">
        <v>0.34856600484749301</v>
      </c>
      <c r="I320" s="71"/>
      <c r="J320" s="71"/>
    </row>
    <row r="321" spans="7:10" ht="15" x14ac:dyDescent="0.2">
      <c r="G321" s="90">
        <v>0.200558398358398</v>
      </c>
      <c r="H321" s="93">
        <v>0.28188856934554501</v>
      </c>
      <c r="I321" s="71"/>
      <c r="J321" s="71"/>
    </row>
    <row r="322" spans="7:10" ht="15" x14ac:dyDescent="0.2">
      <c r="G322" s="90">
        <v>0.200468148068148</v>
      </c>
      <c r="H322" s="93">
        <v>0.396162502456543</v>
      </c>
      <c r="I322" s="71"/>
      <c r="J322" s="71"/>
    </row>
    <row r="323" spans="7:10" ht="15" x14ac:dyDescent="0.2">
      <c r="G323" s="90">
        <v>0.20019508308739001</v>
      </c>
      <c r="H323" s="93">
        <v>0.372306279571334</v>
      </c>
      <c r="I323" s="71"/>
      <c r="J323" s="71"/>
    </row>
    <row r="324" spans="7:10" ht="15" x14ac:dyDescent="0.2">
      <c r="G324" s="90">
        <v>0.20228623362536399</v>
      </c>
      <c r="H324" s="93">
        <v>0.32440258802335797</v>
      </c>
      <c r="I324" s="71"/>
      <c r="J324" s="71"/>
    </row>
    <row r="325" spans="7:10" ht="15" x14ac:dyDescent="0.2">
      <c r="G325" s="90">
        <v>0.20380509469740199</v>
      </c>
      <c r="H325" s="93">
        <v>0.34197954925694801</v>
      </c>
      <c r="I325" s="71"/>
      <c r="J325" s="71"/>
    </row>
    <row r="326" spans="7:10" ht="15" x14ac:dyDescent="0.2">
      <c r="G326" s="90">
        <v>0.20548916959239499</v>
      </c>
      <c r="H326" s="93">
        <v>0.25175092688834899</v>
      </c>
      <c r="I326" s="71"/>
      <c r="J326" s="71"/>
    </row>
    <row r="327" spans="7:10" ht="15" x14ac:dyDescent="0.2">
      <c r="G327" s="90">
        <v>0.20592209698092001</v>
      </c>
      <c r="H327" s="93">
        <v>0.29348776735246801</v>
      </c>
      <c r="I327" s="71"/>
      <c r="J327" s="71"/>
    </row>
    <row r="328" spans="7:10" ht="15" x14ac:dyDescent="0.2">
      <c r="G328" s="90">
        <v>0.20612383292383199</v>
      </c>
      <c r="H328" s="93">
        <v>0.57336596710239496</v>
      </c>
      <c r="I328" s="71"/>
      <c r="J328" s="71"/>
    </row>
    <row r="329" spans="7:10" ht="15" x14ac:dyDescent="0.2">
      <c r="G329" s="90">
        <v>0.20588316548316499</v>
      </c>
      <c r="H329" s="93">
        <v>0.38553547167936703</v>
      </c>
      <c r="I329" s="71"/>
      <c r="J329" s="71"/>
    </row>
    <row r="330" spans="7:10" ht="15" x14ac:dyDescent="0.2">
      <c r="G330" s="90">
        <v>0.20644318010471799</v>
      </c>
      <c r="H330" s="93">
        <v>0.36628030185199401</v>
      </c>
      <c r="I330" s="71"/>
      <c r="J330" s="71"/>
    </row>
    <row r="331" spans="7:10" ht="15" x14ac:dyDescent="0.2">
      <c r="G331" s="90">
        <v>0.20974243979958199</v>
      </c>
      <c r="H331" s="93">
        <v>0.34495672618764001</v>
      </c>
      <c r="I331" s="71"/>
      <c r="J331" s="71"/>
    </row>
    <row r="332" spans="7:10" ht="15" x14ac:dyDescent="0.2">
      <c r="G332" s="90">
        <v>0.20904794232794199</v>
      </c>
      <c r="H332" s="93">
        <v>0.31213266757279201</v>
      </c>
      <c r="I332" s="71"/>
      <c r="J332" s="71"/>
    </row>
    <row r="333" spans="7:10" ht="15" x14ac:dyDescent="0.2">
      <c r="G333" s="90">
        <v>0.20937284337284301</v>
      </c>
      <c r="H333" s="93">
        <v>0.48573905939620199</v>
      </c>
      <c r="I333" s="71"/>
      <c r="J333" s="71"/>
    </row>
    <row r="334" spans="7:10" ht="15" x14ac:dyDescent="0.2">
      <c r="G334" s="90">
        <v>0.20929262089261999</v>
      </c>
      <c r="H334" s="93">
        <v>0.207867392993107</v>
      </c>
      <c r="I334" s="71"/>
      <c r="J334" s="71"/>
    </row>
    <row r="335" spans="7:10" ht="15" x14ac:dyDescent="0.2">
      <c r="G335" s="90">
        <v>0.21117784917784899</v>
      </c>
      <c r="H335" s="93">
        <v>0.43362940133225802</v>
      </c>
      <c r="I335" s="71"/>
      <c r="J335" s="71"/>
    </row>
    <row r="336" spans="7:10" ht="15" x14ac:dyDescent="0.2">
      <c r="G336" s="90">
        <v>0.21121796041796001</v>
      </c>
      <c r="H336" s="93">
        <v>0.25427273361728198</v>
      </c>
      <c r="I336" s="71"/>
      <c r="J336" s="71"/>
    </row>
    <row r="337" spans="7:10" ht="15" x14ac:dyDescent="0.2">
      <c r="G337" s="90">
        <v>0.21174058628176201</v>
      </c>
      <c r="H337" s="93">
        <v>0.28185651652030502</v>
      </c>
      <c r="I337" s="71"/>
      <c r="J337" s="71"/>
    </row>
    <row r="338" spans="7:10" ht="15" x14ac:dyDescent="0.2">
      <c r="G338" s="90">
        <v>0.20991434511434501</v>
      </c>
      <c r="H338" s="93">
        <v>0.57338154602154501</v>
      </c>
      <c r="I338" s="71"/>
      <c r="J338" s="71"/>
    </row>
    <row r="339" spans="7:10" ht="15" x14ac:dyDescent="0.2">
      <c r="G339" s="90">
        <v>0.21117784917784899</v>
      </c>
      <c r="H339" s="93">
        <v>0.37362429929144197</v>
      </c>
      <c r="I339" s="71"/>
      <c r="J339" s="71"/>
    </row>
    <row r="340" spans="7:10" ht="15" x14ac:dyDescent="0.2">
      <c r="G340" s="90">
        <v>0.214701534423273</v>
      </c>
      <c r="H340" s="93">
        <v>0.323771451362805</v>
      </c>
      <c r="I340" s="71"/>
      <c r="J340" s="71"/>
    </row>
    <row r="341" spans="7:10" ht="15" x14ac:dyDescent="0.2">
      <c r="G341" s="90">
        <v>0.21454719334719299</v>
      </c>
      <c r="H341" s="93">
        <v>0.48376042922328599</v>
      </c>
      <c r="I341" s="71"/>
      <c r="J341" s="71"/>
    </row>
    <row r="342" spans="7:10" ht="15" x14ac:dyDescent="0.2">
      <c r="G342" s="90">
        <v>0.21594822166250699</v>
      </c>
      <c r="H342" s="93">
        <v>0.20520934588492201</v>
      </c>
      <c r="I342" s="71"/>
      <c r="J342" s="71"/>
    </row>
    <row r="343" spans="7:10" ht="15" x14ac:dyDescent="0.2">
      <c r="G343" s="90">
        <v>0.21685541289177601</v>
      </c>
      <c r="H343" s="93">
        <v>0.36480348726878598</v>
      </c>
      <c r="I343" s="71"/>
      <c r="J343" s="71"/>
    </row>
    <row r="344" spans="7:10" ht="15" x14ac:dyDescent="0.2">
      <c r="G344" s="90">
        <v>0.216602366623419</v>
      </c>
      <c r="H344" s="93">
        <v>0.170133941620847</v>
      </c>
      <c r="I344" s="71"/>
      <c r="J344" s="71"/>
    </row>
    <row r="345" spans="7:10" ht="15" x14ac:dyDescent="0.2">
      <c r="G345" s="90">
        <v>0.21496836136836101</v>
      </c>
      <c r="H345" s="93">
        <v>0.43359330121615802</v>
      </c>
      <c r="I345" s="71"/>
      <c r="J345" s="71"/>
    </row>
    <row r="346" spans="7:10" ht="15" x14ac:dyDescent="0.2">
      <c r="G346" s="90">
        <v>0.217809283548414</v>
      </c>
      <c r="H346" s="93">
        <v>0.30398568906624701</v>
      </c>
      <c r="I346" s="71"/>
      <c r="J346" s="71"/>
    </row>
    <row r="347" spans="7:10" ht="15" x14ac:dyDescent="0.2">
      <c r="G347" s="90">
        <v>0.217435202635202</v>
      </c>
      <c r="H347" s="93">
        <v>0.26079460399015297</v>
      </c>
      <c r="I347" s="71"/>
      <c r="J347" s="71"/>
    </row>
    <row r="348" spans="7:10" ht="15" x14ac:dyDescent="0.2">
      <c r="G348" s="90">
        <v>0.21940655211243401</v>
      </c>
      <c r="H348" s="93">
        <v>0.226604371913181</v>
      </c>
      <c r="I348" s="71"/>
      <c r="J348" s="71"/>
    </row>
    <row r="349" spans="7:10" ht="15" x14ac:dyDescent="0.2">
      <c r="G349" s="90">
        <v>0.22092488052487999</v>
      </c>
      <c r="H349" s="93">
        <v>0.479840988046702</v>
      </c>
      <c r="I349" s="71"/>
      <c r="J349" s="71"/>
    </row>
    <row r="350" spans="7:10" ht="15" x14ac:dyDescent="0.2">
      <c r="G350" s="90">
        <v>0.221795992022079</v>
      </c>
      <c r="H350" s="93">
        <v>0.36941181068312801</v>
      </c>
      <c r="I350" s="71"/>
      <c r="J350" s="71"/>
    </row>
    <row r="351" spans="7:10" ht="15" x14ac:dyDescent="0.2">
      <c r="G351" s="90">
        <v>0.22146638226638199</v>
      </c>
      <c r="H351" s="93">
        <v>0.172475816771505</v>
      </c>
      <c r="I351" s="71"/>
      <c r="J351" s="71"/>
    </row>
    <row r="352" spans="7:10" ht="15" x14ac:dyDescent="0.2">
      <c r="G352" s="90">
        <v>0.22344404080056199</v>
      </c>
      <c r="H352" s="93">
        <v>0.31608898932142898</v>
      </c>
      <c r="I352" s="71"/>
      <c r="J352" s="71"/>
    </row>
    <row r="353" spans="7:10" ht="15" x14ac:dyDescent="0.2">
      <c r="G353" s="90">
        <v>0.22254938574938499</v>
      </c>
      <c r="H353" s="93">
        <v>0.27020103159138398</v>
      </c>
      <c r="I353" s="71"/>
      <c r="J353" s="71"/>
    </row>
    <row r="354" spans="7:10" ht="15" x14ac:dyDescent="0.2">
      <c r="G354" s="90">
        <v>0.22323528795528699</v>
      </c>
      <c r="H354" s="93">
        <v>0.35345000526998399</v>
      </c>
      <c r="I354" s="71"/>
      <c r="J354" s="71"/>
    </row>
    <row r="355" spans="7:10" ht="15" x14ac:dyDescent="0.2">
      <c r="G355" s="90">
        <v>0.222910386910386</v>
      </c>
      <c r="H355" s="93">
        <v>0.297926908281609</v>
      </c>
      <c r="I355" s="71"/>
      <c r="J355" s="71"/>
    </row>
    <row r="356" spans="7:10" ht="15" x14ac:dyDescent="0.2">
      <c r="G356" s="90">
        <v>0.22329262343379899</v>
      </c>
      <c r="H356" s="93">
        <v>0.22731954915205799</v>
      </c>
      <c r="I356" s="71"/>
      <c r="J356" s="71"/>
    </row>
    <row r="357" spans="7:10" ht="15" x14ac:dyDescent="0.2">
      <c r="G357" s="90">
        <v>0.22435439155439099</v>
      </c>
      <c r="H357" s="93">
        <v>0.47980832603689699</v>
      </c>
      <c r="I357" s="71"/>
      <c r="J357" s="71"/>
    </row>
    <row r="358" spans="7:10" ht="15" x14ac:dyDescent="0.2">
      <c r="G358" s="90">
        <v>0.22922790722790701</v>
      </c>
      <c r="H358" s="93">
        <v>0.42601571494142898</v>
      </c>
      <c r="I358" s="71"/>
      <c r="J358" s="71"/>
    </row>
    <row r="359" spans="7:10" ht="15" x14ac:dyDescent="0.2">
      <c r="G359" s="90">
        <v>0.22892707292707201</v>
      </c>
      <c r="H359" s="93">
        <v>0.37421923379800898</v>
      </c>
      <c r="I359" s="71"/>
      <c r="J359" s="71"/>
    </row>
    <row r="360" spans="7:10" ht="15" x14ac:dyDescent="0.2">
      <c r="G360" s="90">
        <v>0.22894712854712801</v>
      </c>
      <c r="H360" s="93">
        <v>0.33231073999286198</v>
      </c>
      <c r="I360" s="71"/>
      <c r="J360" s="71"/>
    </row>
    <row r="361" spans="7:10" ht="15" x14ac:dyDescent="0.2">
      <c r="G361" s="90">
        <v>0.229552808272808</v>
      </c>
      <c r="H361" s="93">
        <v>0.298203727186717</v>
      </c>
      <c r="I361" s="71"/>
      <c r="J361" s="71"/>
    </row>
    <row r="362" spans="7:10" ht="15" x14ac:dyDescent="0.2">
      <c r="G362" s="90">
        <v>0.22994990954990899</v>
      </c>
      <c r="H362" s="93">
        <v>0.23719100449998701</v>
      </c>
      <c r="I362" s="71"/>
      <c r="J362" s="71"/>
    </row>
    <row r="363" spans="7:10" ht="15" x14ac:dyDescent="0.2">
      <c r="G363" s="90">
        <v>0.23506409266409201</v>
      </c>
      <c r="H363" s="93">
        <v>0.41383278528421302</v>
      </c>
      <c r="I363" s="71"/>
      <c r="J363" s="71"/>
    </row>
    <row r="364" spans="7:10" ht="15" x14ac:dyDescent="0.2">
      <c r="G364" s="90">
        <v>0.233018419418419</v>
      </c>
      <c r="H364" s="93">
        <v>0.38380952206094998</v>
      </c>
      <c r="I364" s="71"/>
      <c r="J364" s="71"/>
    </row>
    <row r="365" spans="7:10" ht="15" x14ac:dyDescent="0.2">
      <c r="G365" s="90">
        <v>0.23420456609028001</v>
      </c>
      <c r="H365" s="93">
        <v>0.32163354891510698</v>
      </c>
      <c r="I365" s="71"/>
      <c r="J365" s="71"/>
    </row>
    <row r="366" spans="7:10" ht="15" x14ac:dyDescent="0.2">
      <c r="G366" s="90">
        <v>0.23570426805626801</v>
      </c>
      <c r="H366" s="93">
        <v>0.26639986895128198</v>
      </c>
      <c r="I366" s="71"/>
      <c r="J366" s="71"/>
    </row>
    <row r="367" spans="7:10" ht="15" x14ac:dyDescent="0.2">
      <c r="G367" s="90">
        <v>0.235684274145812</v>
      </c>
      <c r="H367" s="93">
        <v>0.23466864959453901</v>
      </c>
      <c r="I367" s="71"/>
      <c r="J367" s="71"/>
    </row>
    <row r="368" spans="7:10" ht="15" x14ac:dyDescent="0.2">
      <c r="G368" s="90">
        <v>0.239877441477441</v>
      </c>
      <c r="H368" s="93">
        <v>0.40772327039755601</v>
      </c>
      <c r="I368" s="71"/>
      <c r="J368" s="71"/>
    </row>
    <row r="369" spans="7:10" ht="15" x14ac:dyDescent="0.2">
      <c r="G369" s="90">
        <v>0.24077994437994399</v>
      </c>
      <c r="H369" s="93">
        <v>0.323386415534272</v>
      </c>
      <c r="I369" s="71"/>
      <c r="J369" s="71"/>
    </row>
    <row r="370" spans="7:10" ht="15" x14ac:dyDescent="0.2">
      <c r="G370" s="90">
        <v>0.241306404406404</v>
      </c>
      <c r="H370" s="93">
        <v>0.27105191725648797</v>
      </c>
      <c r="I370" s="71"/>
      <c r="J370" s="71"/>
    </row>
    <row r="371" spans="7:10" ht="15" x14ac:dyDescent="0.2">
      <c r="G371" s="90">
        <v>0.24122299125935401</v>
      </c>
      <c r="H371" s="93">
        <v>0.240014826800382</v>
      </c>
      <c r="I371" s="71"/>
      <c r="J371" s="71"/>
    </row>
    <row r="372" spans="7:10" ht="15" x14ac:dyDescent="0.2">
      <c r="G372" s="90">
        <v>0.24511195831195801</v>
      </c>
      <c r="H372" s="93">
        <v>0.17615133993419699</v>
      </c>
      <c r="I372" s="71"/>
      <c r="J372" s="71"/>
    </row>
    <row r="373" spans="7:10" ht="15" x14ac:dyDescent="0.2">
      <c r="G373" s="90">
        <v>0.24642961254961199</v>
      </c>
      <c r="H373" s="93">
        <v>0.27247463074509498</v>
      </c>
      <c r="I373" s="71"/>
      <c r="J373" s="71"/>
    </row>
    <row r="374" spans="7:10" ht="15" x14ac:dyDescent="0.2">
      <c r="G374" s="90">
        <v>0.24779169769939</v>
      </c>
      <c r="H374" s="93">
        <v>0.36528698886500999</v>
      </c>
      <c r="I374" s="71"/>
      <c r="J374" s="71"/>
    </row>
    <row r="375" spans="7:10" ht="15.75" thickBot="1" x14ac:dyDescent="0.25">
      <c r="G375" s="112">
        <v>8.2432432432432395E-2</v>
      </c>
      <c r="H375" s="120">
        <v>1.6358776358776202E-2</v>
      </c>
      <c r="I375" s="71"/>
      <c r="J375" s="71"/>
    </row>
    <row r="376" spans="7:10" x14ac:dyDescent="0.2">
      <c r="G376" s="3">
        <v>0.11263843911445599</v>
      </c>
      <c r="H376" s="3">
        <v>0.41258453946950902</v>
      </c>
    </row>
    <row r="377" spans="7:10" x14ac:dyDescent="0.2">
      <c r="G377" s="3">
        <v>0.114501442260912</v>
      </c>
      <c r="H377" s="3">
        <v>0.45944383582521903</v>
      </c>
    </row>
    <row r="378" spans="7:10" x14ac:dyDescent="0.2">
      <c r="G378" s="3">
        <v>0.11499492637551</v>
      </c>
      <c r="H378" s="3">
        <v>0.50932026411559694</v>
      </c>
    </row>
    <row r="379" spans="7:10" x14ac:dyDescent="0.2">
      <c r="G379" s="3">
        <v>0.114895672435227</v>
      </c>
      <c r="H379" s="3">
        <v>0.480050349744438</v>
      </c>
    </row>
    <row r="380" spans="7:10" x14ac:dyDescent="0.2">
      <c r="G380" s="3">
        <v>0.13460619865534901</v>
      </c>
      <c r="H380" s="3">
        <v>0.42241654930397698</v>
      </c>
    </row>
    <row r="381" spans="7:10" x14ac:dyDescent="0.2">
      <c r="G381" s="3">
        <v>0.13884329807152701</v>
      </c>
      <c r="H381" s="3">
        <v>0.35081195275258303</v>
      </c>
    </row>
    <row r="382" spans="7:10" x14ac:dyDescent="0.2">
      <c r="G382" s="3">
        <v>0.173002853803635</v>
      </c>
      <c r="H382" s="3">
        <v>0.37821133602750301</v>
      </c>
    </row>
    <row r="383" spans="7:10" x14ac:dyDescent="0.2">
      <c r="G383" s="3">
        <v>0.18847831626060599</v>
      </c>
      <c r="H383" s="3">
        <v>0.38703178246651199</v>
      </c>
    </row>
    <row r="384" spans="7:10" x14ac:dyDescent="0.2">
      <c r="G384" s="3">
        <v>0.184162402565023</v>
      </c>
      <c r="H384" s="3">
        <v>0.27507146915528802</v>
      </c>
    </row>
    <row r="385" spans="7:8" x14ac:dyDescent="0.2">
      <c r="G385" s="3">
        <v>0.18490419630758001</v>
      </c>
      <c r="H385" s="3">
        <v>0.32385609771066498</v>
      </c>
    </row>
    <row r="386" spans="7:8" x14ac:dyDescent="0.2">
      <c r="G386" s="3">
        <v>0.19719783839619701</v>
      </c>
      <c r="H386" s="3">
        <v>0.367170726273916</v>
      </c>
    </row>
    <row r="387" spans="7:8" x14ac:dyDescent="0.2">
      <c r="G387" s="3">
        <v>0.200320530714728</v>
      </c>
      <c r="H387" s="3">
        <v>0.32478044916082899</v>
      </c>
    </row>
    <row r="388" spans="7:8" x14ac:dyDescent="0.2">
      <c r="G388" s="3">
        <v>0.20406301518530301</v>
      </c>
      <c r="H388" s="3">
        <v>0.37914142293652398</v>
      </c>
    </row>
    <row r="389" spans="7:8" x14ac:dyDescent="0.2">
      <c r="G389" s="3">
        <v>0.213658333514753</v>
      </c>
      <c r="H389" s="3">
        <v>0.41382063766375898</v>
      </c>
    </row>
    <row r="390" spans="7:8" x14ac:dyDescent="0.2">
      <c r="G390" s="3">
        <v>0.223746962017389</v>
      </c>
      <c r="H390" s="3">
        <v>0.16016533002217201</v>
      </c>
    </row>
    <row r="391" spans="7:8" x14ac:dyDescent="0.2">
      <c r="G391" s="3">
        <v>0.224569181732763</v>
      </c>
      <c r="H391" s="3">
        <v>0.10689480304983799</v>
      </c>
    </row>
    <row r="392" spans="7:8" x14ac:dyDescent="0.2">
      <c r="G392" s="3">
        <v>0.22449805482990401</v>
      </c>
      <c r="H392" s="3">
        <v>0.249482180768584</v>
      </c>
    </row>
    <row r="393" spans="7:8" x14ac:dyDescent="0.2">
      <c r="G393" s="3">
        <v>0.22979778072419499</v>
      </c>
      <c r="H393" s="3">
        <v>0.291946887453643</v>
      </c>
    </row>
    <row r="394" spans="7:8" x14ac:dyDescent="0.2">
      <c r="G394" s="3">
        <v>0.23397262728530799</v>
      </c>
      <c r="H394" s="3">
        <v>0.24952984196240202</v>
      </c>
    </row>
    <row r="395" spans="7:8" x14ac:dyDescent="0.2">
      <c r="G395" s="3">
        <v>0.229139724403985</v>
      </c>
      <c r="H395" s="3">
        <v>0.31091149772636001</v>
      </c>
    </row>
    <row r="396" spans="7:8" x14ac:dyDescent="0.2">
      <c r="G396" s="3">
        <v>0.233908822530806</v>
      </c>
      <c r="H396" s="3">
        <v>0.31940401544868602</v>
      </c>
    </row>
    <row r="397" spans="7:8" x14ac:dyDescent="0.2">
      <c r="G397" s="3">
        <v>0.24395045738062299</v>
      </c>
      <c r="H397" s="3">
        <v>0.37081538022430299</v>
      </c>
    </row>
    <row r="398" spans="7:8" x14ac:dyDescent="0.2">
      <c r="G398" s="3">
        <v>0.24684667221029699</v>
      </c>
      <c r="H398" s="3">
        <v>0.221454387380766</v>
      </c>
    </row>
    <row r="399" spans="7:8" x14ac:dyDescent="0.2">
      <c r="G399" s="3">
        <v>0.24296900448235501</v>
      </c>
      <c r="H399" s="3">
        <v>0.245847165129151</v>
      </c>
    </row>
    <row r="400" spans="7:8" x14ac:dyDescent="0.2">
      <c r="G400" s="3">
        <v>0.24243984972527999</v>
      </c>
      <c r="H400" s="3">
        <v>0.33307747181455805</v>
      </c>
    </row>
    <row r="401" spans="7:8" x14ac:dyDescent="0.2">
      <c r="G401" s="3">
        <v>0.25121749106825098</v>
      </c>
      <c r="H401" s="3">
        <v>0.28246559117210202</v>
      </c>
    </row>
    <row r="402" spans="7:8" x14ac:dyDescent="0.2">
      <c r="G402" s="3">
        <v>0.25817991531273299</v>
      </c>
      <c r="H402" s="3">
        <v>0.34888531134375905</v>
      </c>
    </row>
    <row r="403" spans="7:8" x14ac:dyDescent="0.2">
      <c r="G403" s="3">
        <v>0.26200597726988201</v>
      </c>
      <c r="H403" s="3">
        <v>0.246875015837551</v>
      </c>
    </row>
    <row r="404" spans="7:8" x14ac:dyDescent="0.2">
      <c r="G404" s="3">
        <v>0.263084478987691</v>
      </c>
      <c r="H404" s="3">
        <v>0.148461445004683</v>
      </c>
    </row>
    <row r="405" spans="7:8" x14ac:dyDescent="0.2">
      <c r="G405" s="3">
        <v>0.26512134448481101</v>
      </c>
      <c r="H405" s="3">
        <v>0.33502392804796599</v>
      </c>
    </row>
    <row r="406" spans="7:8" x14ac:dyDescent="0.2">
      <c r="G406" s="3">
        <v>0.26819990609988598</v>
      </c>
      <c r="H406" s="3">
        <v>0.28092520105294999</v>
      </c>
    </row>
    <row r="407" spans="7:8" x14ac:dyDescent="0.2">
      <c r="G407" s="3">
        <v>0.26927050000495101</v>
      </c>
      <c r="H407" s="3">
        <v>0.25443039395278999</v>
      </c>
    </row>
    <row r="408" spans="7:8" x14ac:dyDescent="0.2">
      <c r="G408" s="3">
        <v>0.27231197472249802</v>
      </c>
      <c r="H408" s="3">
        <v>0.33004949528750205</v>
      </c>
    </row>
    <row r="409" spans="7:8" x14ac:dyDescent="0.2">
      <c r="G409" s="3">
        <v>0.27814243181006698</v>
      </c>
      <c r="H409" s="3">
        <v>0.25379765053509801</v>
      </c>
    </row>
    <row r="410" spans="7:8" x14ac:dyDescent="0.2">
      <c r="G410" s="3">
        <v>0.28396749173236002</v>
      </c>
      <c r="H410" s="3">
        <v>0.36907179309316196</v>
      </c>
    </row>
    <row r="411" spans="7:8" x14ac:dyDescent="0.2">
      <c r="G411" s="3">
        <v>0.294282179601982</v>
      </c>
      <c r="H411" s="3">
        <v>0.23350933747451103</v>
      </c>
    </row>
    <row r="412" spans="7:8" x14ac:dyDescent="0.2">
      <c r="G412" s="3">
        <v>0.29821410818717797</v>
      </c>
      <c r="H412" s="3">
        <v>0.33205188406552999</v>
      </c>
    </row>
    <row r="413" spans="7:8" x14ac:dyDescent="0.2">
      <c r="G413" s="3">
        <v>0.30826974924827899</v>
      </c>
      <c r="H413" s="3">
        <v>0.18805112677204799</v>
      </c>
    </row>
    <row r="414" spans="7:8" x14ac:dyDescent="0.2">
      <c r="G414" s="3">
        <v>0.32140875622967802</v>
      </c>
      <c r="H414" s="3">
        <v>0.19463245689467201</v>
      </c>
    </row>
    <row r="415" spans="7:8" x14ac:dyDescent="0.2">
      <c r="G415" s="3">
        <v>0.32849686259928401</v>
      </c>
      <c r="H415" s="3">
        <v>0.16698710775807998</v>
      </c>
    </row>
    <row r="416" spans="7:8" x14ac:dyDescent="0.2">
      <c r="G416" s="3">
        <v>0.33957714730030703</v>
      </c>
      <c r="H416" s="3">
        <v>0.18084687363700203</v>
      </c>
    </row>
    <row r="417" spans="7:8" x14ac:dyDescent="0.2">
      <c r="G417" s="3">
        <v>0.33918904642383702</v>
      </c>
      <c r="H417" s="3">
        <v>0.16475815897495402</v>
      </c>
    </row>
    <row r="418" spans="7:8" x14ac:dyDescent="0.2">
      <c r="G418" s="3">
        <v>0.340259512449676</v>
      </c>
      <c r="H418" s="3">
        <v>0.21090633901494102</v>
      </c>
    </row>
    <row r="419" spans="7:8" x14ac:dyDescent="0.2">
      <c r="G419" s="3">
        <v>0.34821449213881001</v>
      </c>
      <c r="H419" s="3">
        <v>0.202176887377328</v>
      </c>
    </row>
    <row r="420" spans="7:8" x14ac:dyDescent="0.2">
      <c r="G420" s="3">
        <v>0.35063112261007201</v>
      </c>
      <c r="H420" s="3">
        <v>0.182133532958802</v>
      </c>
    </row>
    <row r="421" spans="7:8" x14ac:dyDescent="0.2">
      <c r="G421" s="3">
        <v>0.35318900693499</v>
      </c>
      <c r="H421" s="3">
        <v>0.17094688230961</v>
      </c>
    </row>
    <row r="422" spans="7:8" x14ac:dyDescent="0.2">
      <c r="G422" s="3">
        <v>0.35877095669821102</v>
      </c>
      <c r="H422" s="3">
        <v>0.16095028267967798</v>
      </c>
    </row>
    <row r="423" spans="7:8" x14ac:dyDescent="0.2">
      <c r="G423" s="3">
        <v>0.37420488547958197</v>
      </c>
      <c r="H423" s="3">
        <v>0.14194937275559702</v>
      </c>
    </row>
    <row r="424" spans="7:8" x14ac:dyDescent="0.2">
      <c r="G424" s="3">
        <v>0.37732341692159399</v>
      </c>
      <c r="H424" s="3">
        <v>0.12177763000012699</v>
      </c>
    </row>
    <row r="425" spans="7:8" x14ac:dyDescent="0.2">
      <c r="G425" s="3">
        <v>0.39339892524404502</v>
      </c>
      <c r="H425" s="3">
        <v>5.1688514658302702E-2</v>
      </c>
    </row>
    <row r="426" spans="7:8" x14ac:dyDescent="0.2">
      <c r="G426" s="3">
        <v>0.39523790106795897</v>
      </c>
      <c r="H426" s="3">
        <v>0.15045219246764099</v>
      </c>
    </row>
    <row r="427" spans="7:8" x14ac:dyDescent="0.2">
      <c r="G427" s="3">
        <v>0.11437312559771901</v>
      </c>
      <c r="H427" s="3">
        <v>0.48973206686412601</v>
      </c>
    </row>
    <row r="428" spans="7:8" x14ac:dyDescent="0.2">
      <c r="G428" s="3">
        <v>0.16466730423425299</v>
      </c>
      <c r="H428" s="3">
        <v>0.468145142570635</v>
      </c>
    </row>
    <row r="429" spans="7:8" x14ac:dyDescent="0.2">
      <c r="G429" s="3">
        <v>0.11323107492038099</v>
      </c>
      <c r="H429" s="3">
        <v>0.43234727006558205</v>
      </c>
    </row>
    <row r="430" spans="7:8" x14ac:dyDescent="0.2">
      <c r="G430" s="3">
        <v>0.19847448027409201</v>
      </c>
      <c r="H430" s="3">
        <v>0.45932566395236102</v>
      </c>
    </row>
    <row r="431" spans="7:8" x14ac:dyDescent="0.2">
      <c r="G431" s="3">
        <v>0.16889567722986101</v>
      </c>
      <c r="H431" s="3">
        <v>0.39963324388817101</v>
      </c>
    </row>
    <row r="432" spans="7:8" x14ac:dyDescent="0.2">
      <c r="G432" s="3">
        <v>0.216551068854204</v>
      </c>
      <c r="H432" s="3">
        <v>0.36968242325202705</v>
      </c>
    </row>
    <row r="433" spans="7:8" x14ac:dyDescent="0.2">
      <c r="G433" s="3">
        <v>0.220682878215305</v>
      </c>
      <c r="H433" s="3">
        <v>0.33013961492155702</v>
      </c>
    </row>
    <row r="434" spans="7:8" x14ac:dyDescent="0.2">
      <c r="G434" s="3">
        <v>0.230871579651071</v>
      </c>
      <c r="H434" s="3">
        <v>0.34019585085870402</v>
      </c>
    </row>
    <row r="435" spans="7:8" x14ac:dyDescent="0.2">
      <c r="G435" s="3">
        <v>0.25948288935726299</v>
      </c>
      <c r="H435" s="3">
        <v>0.29013627233420902</v>
      </c>
    </row>
    <row r="436" spans="7:8" x14ac:dyDescent="0.2">
      <c r="G436" s="3">
        <v>0.25942346558218199</v>
      </c>
      <c r="H436" s="3">
        <v>0.30796340485851198</v>
      </c>
    </row>
    <row r="437" spans="7:8" x14ac:dyDescent="0.2">
      <c r="G437" s="3">
        <v>0.27721964822363099</v>
      </c>
      <c r="H437" s="3">
        <v>0.30244194575723499</v>
      </c>
    </row>
    <row r="438" spans="7:8" x14ac:dyDescent="0.2">
      <c r="G438" s="3">
        <v>0.27459386016223902</v>
      </c>
      <c r="H438" s="3">
        <v>0.29017836417489101</v>
      </c>
    </row>
    <row r="439" spans="7:8" x14ac:dyDescent="0.2">
      <c r="G439" s="3">
        <v>0.26736768151332502</v>
      </c>
      <c r="H439" s="3">
        <v>0.324698625515702</v>
      </c>
    </row>
    <row r="440" spans="7:8" x14ac:dyDescent="0.2">
      <c r="G440" s="3">
        <v>0.27210425158540702</v>
      </c>
      <c r="H440" s="3">
        <v>0.37039427055768598</v>
      </c>
    </row>
    <row r="441" spans="7:8" x14ac:dyDescent="0.2">
      <c r="G441" s="3">
        <v>0.24159942804616399</v>
      </c>
      <c r="H441" s="3">
        <v>0.32184133233055695</v>
      </c>
    </row>
    <row r="442" spans="7:8" x14ac:dyDescent="0.2">
      <c r="G442" s="3">
        <v>0.28269777748891201</v>
      </c>
      <c r="H442" s="3">
        <v>0.259003166173016</v>
      </c>
    </row>
    <row r="443" spans="7:8" x14ac:dyDescent="0.2">
      <c r="G443" s="3">
        <v>0.33092017096715198</v>
      </c>
      <c r="H443" s="3">
        <v>0.19228512270081002</v>
      </c>
    </row>
  </sheetData>
  <printOptions horizontalCentered="1"/>
  <pageMargins left="0.59055118110236227" right="0.59055118110236227" top="0.78740157480314965" bottom="0.39370078740157483" header="0.78740157480314965" footer="0.19685039370078741"/>
  <pageSetup paperSize="9" firstPageNumber="7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0" r:id="rId4" name="SpinButton6">
          <controlPr defaultSize="0" autoLine="0" autoPict="0" r:id="rId5">
            <anchor moveWithCells="1">
              <from>
                <xdr:col>24</xdr:col>
                <xdr:colOff>47625</xdr:colOff>
                <xdr:row>34</xdr:row>
                <xdr:rowOff>19050</xdr:rowOff>
              </from>
              <to>
                <xdr:col>25</xdr:col>
                <xdr:colOff>123825</xdr:colOff>
                <xdr:row>35</xdr:row>
                <xdr:rowOff>47625</xdr:rowOff>
              </to>
            </anchor>
          </controlPr>
        </control>
      </mc:Choice>
      <mc:Fallback>
        <control shapeId="1030" r:id="rId4" name="SpinButton6"/>
      </mc:Fallback>
    </mc:AlternateContent>
    <mc:AlternateContent xmlns:mc="http://schemas.openxmlformats.org/markup-compatibility/2006">
      <mc:Choice Requires="x14">
        <control shapeId="1029" r:id="rId6" name="SpinButton5">
          <controlPr defaultSize="0" autoLine="0" autoPict="0" r:id="rId5">
            <anchor moveWithCells="1">
              <from>
                <xdr:col>18</xdr:col>
                <xdr:colOff>47625</xdr:colOff>
                <xdr:row>34</xdr:row>
                <xdr:rowOff>19050</xdr:rowOff>
              </from>
              <to>
                <xdr:col>19</xdr:col>
                <xdr:colOff>123825</xdr:colOff>
                <xdr:row>35</xdr:row>
                <xdr:rowOff>47625</xdr:rowOff>
              </to>
            </anchor>
          </controlPr>
        </control>
      </mc:Choice>
      <mc:Fallback>
        <control shapeId="1029" r:id="rId6" name="SpinButton5"/>
      </mc:Fallback>
    </mc:AlternateContent>
    <mc:AlternateContent xmlns:mc="http://schemas.openxmlformats.org/markup-compatibility/2006">
      <mc:Choice Requires="x14">
        <control shapeId="1028" r:id="rId7" name="SpinButton4">
          <controlPr defaultSize="0" autoLine="0" autoPict="0" r:id="rId5">
            <anchor moveWithCells="1">
              <from>
                <xdr:col>11</xdr:col>
                <xdr:colOff>180975</xdr:colOff>
                <xdr:row>34</xdr:row>
                <xdr:rowOff>19050</xdr:rowOff>
              </from>
              <to>
                <xdr:col>12</xdr:col>
                <xdr:colOff>66675</xdr:colOff>
                <xdr:row>35</xdr:row>
                <xdr:rowOff>47625</xdr:rowOff>
              </to>
            </anchor>
          </controlPr>
        </control>
      </mc:Choice>
      <mc:Fallback>
        <control shapeId="1028" r:id="rId7" name="SpinButton4"/>
      </mc:Fallback>
    </mc:AlternateContent>
    <mc:AlternateContent xmlns:mc="http://schemas.openxmlformats.org/markup-compatibility/2006">
      <mc:Choice Requires="x14">
        <control shapeId="1027" r:id="rId8" name="SpinButton3">
          <controlPr defaultSize="0" autoLine="0" autoPict="0" r:id="rId5">
            <anchor moveWithCells="1">
              <from>
                <xdr:col>10</xdr:col>
                <xdr:colOff>180975</xdr:colOff>
                <xdr:row>34</xdr:row>
                <xdr:rowOff>19050</xdr:rowOff>
              </from>
              <to>
                <xdr:col>10</xdr:col>
                <xdr:colOff>828675</xdr:colOff>
                <xdr:row>35</xdr:row>
                <xdr:rowOff>47625</xdr:rowOff>
              </to>
            </anchor>
          </controlPr>
        </control>
      </mc:Choice>
      <mc:Fallback>
        <control shapeId="1027" r:id="rId8" name="SpinButton3"/>
      </mc:Fallback>
    </mc:AlternateContent>
    <mc:AlternateContent xmlns:mc="http://schemas.openxmlformats.org/markup-compatibility/2006">
      <mc:Choice Requires="x14">
        <control shapeId="1026" r:id="rId9" name="SpinButton2">
          <controlPr defaultSize="0" autoLine="0" autoPict="0" r:id="rId5">
            <anchor moveWithCells="1">
              <from>
                <xdr:col>16</xdr:col>
                <xdr:colOff>57150</xdr:colOff>
                <xdr:row>34</xdr:row>
                <xdr:rowOff>19050</xdr:rowOff>
              </from>
              <to>
                <xdr:col>16</xdr:col>
                <xdr:colOff>704850</xdr:colOff>
                <xdr:row>35</xdr:row>
                <xdr:rowOff>47625</xdr:rowOff>
              </to>
            </anchor>
          </controlPr>
        </control>
      </mc:Choice>
      <mc:Fallback>
        <control shapeId="1026" r:id="rId9" name="SpinButton2"/>
      </mc:Fallback>
    </mc:AlternateContent>
    <mc:AlternateContent xmlns:mc="http://schemas.openxmlformats.org/markup-compatibility/2006">
      <mc:Choice Requires="x14">
        <control shapeId="1025" r:id="rId10" name="SpinButton1">
          <controlPr defaultSize="0" autoLine="0" autoPict="0" r:id="rId5">
            <anchor moveWithCells="1">
              <from>
                <xdr:col>15</xdr:col>
                <xdr:colOff>19050</xdr:colOff>
                <xdr:row>34</xdr:row>
                <xdr:rowOff>19050</xdr:rowOff>
              </from>
              <to>
                <xdr:col>15</xdr:col>
                <xdr:colOff>666750</xdr:colOff>
                <xdr:row>35</xdr:row>
                <xdr:rowOff>47625</xdr:rowOff>
              </to>
            </anchor>
          </controlPr>
        </control>
      </mc:Choice>
      <mc:Fallback>
        <control shapeId="1025" r:id="rId10" name="Spin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1A184-C99C-45A6-9EE3-6CAF66FA0959}">
  <sheetPr codeName="Sheet11"/>
  <dimension ref="A1"/>
  <sheetViews>
    <sheetView tabSelected="1" topLeftCell="A19" zoomScale="60" zoomScaleNormal="60" workbookViewId="0">
      <selection activeCell="AK48" sqref="AK48"/>
    </sheetView>
  </sheetViews>
  <sheetFormatPr defaultColWidth="8.85546875" defaultRowHeight="15" x14ac:dyDescent="0.25"/>
  <cols>
    <col min="1" max="16384" width="8.85546875" style="124"/>
  </cols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6_Keff_Swirr</vt:lpstr>
      <vt:lpstr>6b_SgrM_Plots</vt:lpstr>
      <vt:lpstr>'6_Keff_Swirr'!Print_Area</vt:lpstr>
      <vt:lpstr>'6_Keff_Swirr'!Print_Titles</vt:lpstr>
    </vt:vector>
  </TitlesOfParts>
  <Company>ERCE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Munish Kumar</dc:creator>
  <cp:lastModifiedBy>Munish Kumar</cp:lastModifiedBy>
  <dcterms:created xsi:type="dcterms:W3CDTF">2022-03-25T05:03:03Z</dcterms:created>
  <dcterms:modified xsi:type="dcterms:W3CDTF">2023-03-08T07:03:55Z</dcterms:modified>
</cp:coreProperties>
</file>